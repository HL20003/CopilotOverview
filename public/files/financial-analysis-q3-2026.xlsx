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Test\M365Copilot\demo-files\"/>
    </mc:Choice>
  </mc:AlternateContent>
  <xr:revisionPtr revIDLastSave="0" documentId="13_ncr:1_{99E66E16-48AB-4F27-ADF3-57C45BE3EF26}" xr6:coauthVersionLast="47" xr6:coauthVersionMax="47" xr10:uidLastSave="{00000000-0000-0000-0000-000000000000}"/>
  <bookViews>
    <workbookView xWindow="32595" yWindow="3795" windowWidth="17280" windowHeight="8880" xr2:uid="{00000000-000D-0000-FFFF-FFFF00000000}"/>
  </bookViews>
  <sheets>
    <sheet name="Output - Q3 Performance" sheetId="1" r:id="rId1"/>
    <sheet name="Danh mục RM" sheetId="2" r:id="rId2"/>
    <sheet name="Thu nhập tháng" sheetId="3" r:id="rId3"/>
    <sheet name="PL_Budget_Actual" sheetId="4" r:id="rId4"/>
    <sheet name="TrialBalance" sheetId="5" r:id="rId5"/>
    <sheet name="UnitEconomics" sheetId="6" r:id="rId6"/>
    <sheet name="Comp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1" i="7" l="1"/>
  <c r="I11" i="7"/>
  <c r="H11" i="7"/>
  <c r="G11" i="7"/>
  <c r="F11" i="7"/>
  <c r="F12" i="7" s="1"/>
  <c r="E11" i="7"/>
  <c r="D11" i="7"/>
  <c r="C11" i="7"/>
  <c r="B11" i="7"/>
  <c r="I10" i="7"/>
  <c r="I12" i="7" s="1"/>
  <c r="H10" i="7"/>
  <c r="H12" i="7" s="1"/>
  <c r="D10" i="7"/>
  <c r="D12" i="7" s="1"/>
  <c r="B10" i="7"/>
  <c r="M17" i="6"/>
  <c r="K16" i="6"/>
  <c r="N16" i="6" s="1"/>
  <c r="J16" i="6"/>
  <c r="H16" i="6"/>
  <c r="I16" i="6" s="1"/>
  <c r="F16" i="6"/>
  <c r="D16" i="6"/>
  <c r="E16" i="6" s="1"/>
  <c r="C16" i="6"/>
  <c r="K15" i="6"/>
  <c r="L15" i="6" s="1"/>
  <c r="J15" i="6"/>
  <c r="H15" i="6"/>
  <c r="I15" i="6" s="1"/>
  <c r="F15" i="6"/>
  <c r="G15" i="6" s="1"/>
  <c r="D15" i="6"/>
  <c r="E15" i="6" s="1"/>
  <c r="C15" i="6"/>
  <c r="K14" i="6"/>
  <c r="N14" i="6" s="1"/>
  <c r="J14" i="6"/>
  <c r="H14" i="6"/>
  <c r="I14" i="6" s="1"/>
  <c r="F14" i="6"/>
  <c r="G14" i="6" s="1"/>
  <c r="D14" i="6"/>
  <c r="C14" i="6"/>
  <c r="K13" i="6"/>
  <c r="N13" i="6" s="1"/>
  <c r="J13" i="6"/>
  <c r="H13" i="6"/>
  <c r="I13" i="6" s="1"/>
  <c r="F13" i="6"/>
  <c r="D13" i="6"/>
  <c r="C13" i="6"/>
  <c r="K12" i="6"/>
  <c r="N12" i="6" s="1"/>
  <c r="J12" i="6"/>
  <c r="H12" i="6"/>
  <c r="I12" i="6" s="1"/>
  <c r="F12" i="6"/>
  <c r="E12" i="6"/>
  <c r="D12" i="6"/>
  <c r="C12" i="6"/>
  <c r="K11" i="6"/>
  <c r="N11" i="6" s="1"/>
  <c r="J11" i="6"/>
  <c r="H11" i="6"/>
  <c r="I11" i="6" s="1"/>
  <c r="F11" i="6"/>
  <c r="D11" i="6"/>
  <c r="G11" i="6" s="1"/>
  <c r="C11" i="6"/>
  <c r="K10" i="6"/>
  <c r="N10" i="6" s="1"/>
  <c r="J10" i="6"/>
  <c r="H10" i="6"/>
  <c r="I10" i="6" s="1"/>
  <c r="F10" i="6"/>
  <c r="D10" i="6"/>
  <c r="E10" i="6" s="1"/>
  <c r="C10" i="6"/>
  <c r="K9" i="6"/>
  <c r="L9" i="6" s="1"/>
  <c r="J9" i="6"/>
  <c r="H9" i="6"/>
  <c r="I9" i="6" s="1"/>
  <c r="F9" i="6"/>
  <c r="G9" i="6" s="1"/>
  <c r="D9" i="6"/>
  <c r="C9" i="6"/>
  <c r="E9" i="6" s="1"/>
  <c r="K8" i="6"/>
  <c r="N8" i="6" s="1"/>
  <c r="J8" i="6"/>
  <c r="H8" i="6"/>
  <c r="I8" i="6" s="1"/>
  <c r="F8" i="6"/>
  <c r="G8" i="6" s="1"/>
  <c r="D8" i="6"/>
  <c r="C8" i="6"/>
  <c r="K7" i="6"/>
  <c r="N7" i="6" s="1"/>
  <c r="J7" i="6"/>
  <c r="H7" i="6"/>
  <c r="I7" i="6" s="1"/>
  <c r="F7" i="6"/>
  <c r="D7" i="6"/>
  <c r="C7" i="6"/>
  <c r="K6" i="6"/>
  <c r="N6" i="6" s="1"/>
  <c r="J6" i="6"/>
  <c r="H6" i="6"/>
  <c r="I6" i="6" s="1"/>
  <c r="F6" i="6"/>
  <c r="G6" i="6" s="1"/>
  <c r="D6" i="6"/>
  <c r="E6" i="6" s="1"/>
  <c r="C6" i="6"/>
  <c r="K5" i="6"/>
  <c r="J5" i="6"/>
  <c r="H5" i="6"/>
  <c r="H17" i="6" s="1"/>
  <c r="I17" i="6" s="1"/>
  <c r="F5" i="6"/>
  <c r="D5" i="6"/>
  <c r="D17" i="6" s="1"/>
  <c r="C5" i="6"/>
  <c r="E32" i="5"/>
  <c r="D32" i="5"/>
  <c r="D33" i="5" s="1"/>
  <c r="H27" i="4"/>
  <c r="G27" i="4"/>
  <c r="F27" i="4"/>
  <c r="E27" i="4"/>
  <c r="H26" i="4"/>
  <c r="G26" i="4"/>
  <c r="F26" i="4"/>
  <c r="E26" i="4"/>
  <c r="H25" i="4"/>
  <c r="G25" i="4"/>
  <c r="F25" i="4"/>
  <c r="E25" i="4"/>
  <c r="G24" i="4"/>
  <c r="E24" i="4"/>
  <c r="G23" i="4"/>
  <c r="E23" i="4"/>
  <c r="D22" i="4"/>
  <c r="G22" i="4" s="1"/>
  <c r="C22" i="4"/>
  <c r="E22" i="4" s="1"/>
  <c r="B22" i="4"/>
  <c r="H21" i="4"/>
  <c r="G21" i="4"/>
  <c r="F21" i="4"/>
  <c r="E21" i="4"/>
  <c r="H20" i="4"/>
  <c r="G20" i="4"/>
  <c r="F20" i="4"/>
  <c r="E20" i="4"/>
  <c r="D19" i="4"/>
  <c r="C10" i="7" s="1"/>
  <c r="C19" i="4"/>
  <c r="B19" i="4"/>
  <c r="G19" i="4" s="1"/>
  <c r="H18" i="4"/>
  <c r="G18" i="4"/>
  <c r="F18" i="4"/>
  <c r="E18" i="4"/>
  <c r="H17" i="4"/>
  <c r="G17" i="4"/>
  <c r="F17" i="4"/>
  <c r="E17" i="4"/>
  <c r="H14" i="4"/>
  <c r="G14" i="4"/>
  <c r="F14" i="4"/>
  <c r="E14" i="4"/>
  <c r="H13" i="4"/>
  <c r="G13" i="4"/>
  <c r="F13" i="4"/>
  <c r="E13" i="4"/>
  <c r="D11" i="4"/>
  <c r="D29" i="4" s="1"/>
  <c r="C11" i="4"/>
  <c r="C29" i="4" s="1"/>
  <c r="B11" i="4"/>
  <c r="B29" i="4" s="1"/>
  <c r="H10" i="4"/>
  <c r="G10" i="4"/>
  <c r="F10" i="4"/>
  <c r="E10" i="4"/>
  <c r="H9" i="4"/>
  <c r="G9" i="4"/>
  <c r="F9" i="4"/>
  <c r="E9" i="4"/>
  <c r="H8" i="4"/>
  <c r="G8" i="4"/>
  <c r="F8" i="4"/>
  <c r="E8" i="4"/>
  <c r="H7" i="4"/>
  <c r="G7" i="4"/>
  <c r="F7" i="4"/>
  <c r="E7" i="4"/>
  <c r="H6" i="4"/>
  <c r="G6" i="4"/>
  <c r="F6" i="4"/>
  <c r="E6" i="4"/>
  <c r="F14" i="3"/>
  <c r="E14" i="3"/>
  <c r="C14" i="3"/>
  <c r="B14" i="3"/>
  <c r="H13" i="3"/>
  <c r="G13" i="3"/>
  <c r="I13" i="3" s="1"/>
  <c r="D13" i="3"/>
  <c r="G12" i="3"/>
  <c r="D12" i="3"/>
  <c r="I11" i="3"/>
  <c r="H11" i="3"/>
  <c r="G11" i="3"/>
  <c r="D11" i="3"/>
  <c r="G10" i="3"/>
  <c r="H10" i="3" s="1"/>
  <c r="D10" i="3"/>
  <c r="G9" i="3"/>
  <c r="H9" i="3" s="1"/>
  <c r="D9" i="3"/>
  <c r="G8" i="3"/>
  <c r="D8" i="3"/>
  <c r="G7" i="3"/>
  <c r="I7" i="3" s="1"/>
  <c r="D7" i="3"/>
  <c r="G6" i="3"/>
  <c r="D6" i="3"/>
  <c r="D14" i="3" s="1"/>
  <c r="H5" i="3"/>
  <c r="G5" i="3"/>
  <c r="D5" i="3"/>
  <c r="D14" i="1"/>
  <c r="C14" i="1"/>
  <c r="B14" i="1"/>
  <c r="F13" i="1"/>
  <c r="D13" i="1"/>
  <c r="E13" i="1" s="1"/>
  <c r="C13" i="1"/>
  <c r="B13" i="1"/>
  <c r="D12" i="1"/>
  <c r="C12" i="1"/>
  <c r="B12" i="1"/>
  <c r="F12" i="1" s="1"/>
  <c r="F11" i="1"/>
  <c r="D11" i="1"/>
  <c r="C11" i="1"/>
  <c r="B11" i="1"/>
  <c r="C10" i="1"/>
  <c r="B10" i="1"/>
  <c r="D9" i="1"/>
  <c r="F9" i="1" s="1"/>
  <c r="C9" i="1"/>
  <c r="B9" i="1"/>
  <c r="D6" i="1"/>
  <c r="C6" i="1"/>
  <c r="B6" i="1"/>
  <c r="I5" i="6" l="1"/>
  <c r="L7" i="6"/>
  <c r="J17" i="6"/>
  <c r="E6" i="1"/>
  <c r="E14" i="1"/>
  <c r="I9" i="3"/>
  <c r="H12" i="3"/>
  <c r="L12" i="6"/>
  <c r="N15" i="6"/>
  <c r="F6" i="1"/>
  <c r="D10" i="1"/>
  <c r="F10" i="1" s="1"/>
  <c r="H7" i="3"/>
  <c r="E19" i="4"/>
  <c r="E7" i="6"/>
  <c r="E8" i="6"/>
  <c r="N9" i="6"/>
  <c r="L10" i="6"/>
  <c r="L8" i="6"/>
  <c r="B7" i="1"/>
  <c r="G14" i="3"/>
  <c r="I14" i="3" s="1"/>
  <c r="C12" i="7"/>
  <c r="C17" i="6"/>
  <c r="E13" i="6"/>
  <c r="E14" i="6"/>
  <c r="K17" i="6"/>
  <c r="N17" i="6" s="1"/>
  <c r="C7" i="1"/>
  <c r="G16" i="6"/>
  <c r="H6" i="3"/>
  <c r="H14" i="3" s="1"/>
  <c r="E17" i="6"/>
  <c r="E11" i="1"/>
  <c r="I5" i="3"/>
  <c r="H8" i="3"/>
  <c r="F17" i="6"/>
  <c r="G10" i="6"/>
  <c r="G12" i="6"/>
  <c r="G13" i="6"/>
  <c r="G29" i="4"/>
  <c r="E29" i="4"/>
  <c r="E10" i="7"/>
  <c r="E12" i="7" s="1"/>
  <c r="G17" i="6"/>
  <c r="D7" i="1"/>
  <c r="F11" i="4"/>
  <c r="L5" i="6"/>
  <c r="L13" i="6"/>
  <c r="L16" i="6"/>
  <c r="G11" i="4"/>
  <c r="E5" i="6"/>
  <c r="N5" i="6"/>
  <c r="L11" i="6"/>
  <c r="G7" i="6"/>
  <c r="E9" i="1"/>
  <c r="F14" i="1"/>
  <c r="I6" i="3"/>
  <c r="I8" i="3"/>
  <c r="I10" i="3"/>
  <c r="I12" i="3"/>
  <c r="B12" i="4"/>
  <c r="G5" i="6"/>
  <c r="L6" i="6"/>
  <c r="E11" i="6"/>
  <c r="L14" i="6"/>
  <c r="G10" i="7"/>
  <c r="G12" i="7" s="1"/>
  <c r="H11" i="4"/>
  <c r="C12" i="4"/>
  <c r="E11" i="4"/>
  <c r="D12" i="4"/>
  <c r="L17" i="6" l="1"/>
  <c r="F7" i="1"/>
  <c r="E7" i="1"/>
  <c r="D31" i="4"/>
  <c r="F12" i="4"/>
  <c r="D15" i="4"/>
  <c r="D30" i="4"/>
  <c r="E12" i="4"/>
  <c r="D5" i="1"/>
  <c r="H12" i="4"/>
  <c r="G12" i="4"/>
  <c r="B31" i="4"/>
  <c r="B5" i="1"/>
  <c r="B15" i="4"/>
  <c r="B8" i="1" s="1"/>
  <c r="B30" i="4"/>
  <c r="C5" i="1"/>
  <c r="C31" i="4"/>
  <c r="C15" i="4"/>
  <c r="C8" i="1" s="1"/>
  <c r="C30" i="4"/>
  <c r="E5" i="1" l="1"/>
  <c r="F5" i="1"/>
  <c r="J10" i="7"/>
  <c r="J12" i="7" s="1"/>
  <c r="G30" i="4"/>
  <c r="E30" i="4"/>
  <c r="E15" i="4"/>
  <c r="D8" i="1"/>
  <c r="G15" i="4"/>
  <c r="F15" i="4"/>
  <c r="H15" i="4"/>
  <c r="G31" i="4"/>
  <c r="H31" i="4"/>
  <c r="F31" i="4"/>
  <c r="E31" i="4"/>
  <c r="F8" i="1" l="1"/>
  <c r="E8" i="1"/>
</calcChain>
</file>

<file path=xl/sharedStrings.xml><?xml version="1.0" encoding="utf-8"?>
<sst xmlns="http://schemas.openxmlformats.org/spreadsheetml/2006/main" count="983" uniqueCount="438">
  <si>
    <t>Tổng quan kết quả Q3/2026 - Khối Khách hàng Ưu tiên</t>
  </si>
  <si>
    <t>Đơn vị: tỷ đồng, trừ khi ghi chú khác. Tất cả số liệu liên kết từ sheet PL_Budget_Actual.</t>
  </si>
  <si>
    <t>Chỉ tiêu</t>
  </si>
  <si>
    <t>Q2/2026 TH</t>
  </si>
  <si>
    <t>Q3/2026 KH</t>
  </si>
  <si>
    <t>Q3/2026 TH</t>
  </si>
  <si>
    <t>% hoàn thành KH</t>
  </si>
  <si>
    <t>Tăng trưởng so với Q2</t>
  </si>
  <si>
    <t>Tổng thu nhập hoạt động</t>
  </si>
  <si>
    <t>Thu nhập lãi thuần (NII)</t>
  </si>
  <si>
    <t>Tổng thu phí dịch vụ</t>
  </si>
  <si>
    <t>Lợi nhuận trước thuế</t>
  </si>
  <si>
    <t>Số dư huy động</t>
  </si>
  <si>
    <t>Tỷ lệ CASA</t>
  </si>
  <si>
    <t>n/a</t>
  </si>
  <si>
    <t>Dư nợ cho vay</t>
  </si>
  <si>
    <t>Tỷ lệ NPL</t>
  </si>
  <si>
    <t>AUM</t>
  </si>
  <si>
    <t>Số khách hàng Exclusive</t>
  </si>
  <si>
    <t>Ghi chú: với các chỉ tiêu tỷ lệ, cột tăng trưởng thể hiện chênh lệch điểm phần trăm.</t>
  </si>
  <si>
    <t>Danh mục khách hàng theo RM - Khối Khách hàng Ưu tiên, 30/09/2026</t>
  </si>
  <si>
    <t>Đơn vị: tỷ đồng (số dư cuối kỳ; thu nhập phát sinh trong Q3/2026). Mã RM đã ẩn danh. Số liệu giả tưởng.</t>
  </si>
  <si>
    <t>Mã RM</t>
  </si>
  <si>
    <t>Trung tâm</t>
  </si>
  <si>
    <t>Vùng</t>
  </si>
  <si>
    <t>Thâm niên (năm)</t>
  </si>
  <si>
    <t>Số KH</t>
  </si>
  <si>
    <t>Huy động</t>
  </si>
  <si>
    <t>Trong đó CASA</t>
  </si>
  <si>
    <t>Dư nợ</t>
  </si>
  <si>
    <t>Phí bancassurance Q3</t>
  </si>
  <si>
    <t>Phí dịch vụ khác Q3</t>
  </si>
  <si>
    <t>NII Q3</t>
  </si>
  <si>
    <t>RM001</t>
  </si>
  <si>
    <t>Exclusive Sài Gòn</t>
  </si>
  <si>
    <t>Miền Nam</t>
  </si>
  <si>
    <t>RM002</t>
  </si>
  <si>
    <t>RM003</t>
  </si>
  <si>
    <t>RM004</t>
  </si>
  <si>
    <t>RM005</t>
  </si>
  <si>
    <t>RM006</t>
  </si>
  <si>
    <t>RM007</t>
  </si>
  <si>
    <t>RM008</t>
  </si>
  <si>
    <t>RM009</t>
  </si>
  <si>
    <t>RM010</t>
  </si>
  <si>
    <t>RM011</t>
  </si>
  <si>
    <t>RM012</t>
  </si>
  <si>
    <t>RM013</t>
  </si>
  <si>
    <t>RM014</t>
  </si>
  <si>
    <t>RM015</t>
  </si>
  <si>
    <t>RM016</t>
  </si>
  <si>
    <t>RM017</t>
  </si>
  <si>
    <t>RM018</t>
  </si>
  <si>
    <t>RM019</t>
  </si>
  <si>
    <t>RM020</t>
  </si>
  <si>
    <t>RM021</t>
  </si>
  <si>
    <t>RM022</t>
  </si>
  <si>
    <t>RM023</t>
  </si>
  <si>
    <t>RM024</t>
  </si>
  <si>
    <t>RM025</t>
  </si>
  <si>
    <t>RM026</t>
  </si>
  <si>
    <t>RM027</t>
  </si>
  <si>
    <t>RM028</t>
  </si>
  <si>
    <t>RM029</t>
  </si>
  <si>
    <t>RM030</t>
  </si>
  <si>
    <t>RM031</t>
  </si>
  <si>
    <t>Exclusive Phú Mỹ Hưng</t>
  </si>
  <si>
    <t>RM032</t>
  </si>
  <si>
    <t>RM033</t>
  </si>
  <si>
    <t>RM034</t>
  </si>
  <si>
    <t>RM035</t>
  </si>
  <si>
    <t>RM036</t>
  </si>
  <si>
    <t>RM037</t>
  </si>
  <si>
    <t>RM038</t>
  </si>
  <si>
    <t>RM039</t>
  </si>
  <si>
    <t>RM040</t>
  </si>
  <si>
    <t>RM041</t>
  </si>
  <si>
    <t>RM042</t>
  </si>
  <si>
    <t>RM043</t>
  </si>
  <si>
    <t>RM044</t>
  </si>
  <si>
    <t>RM045</t>
  </si>
  <si>
    <t>RM046</t>
  </si>
  <si>
    <t>RM047</t>
  </si>
  <si>
    <t>RM048</t>
  </si>
  <si>
    <t>RM049</t>
  </si>
  <si>
    <t>RM050</t>
  </si>
  <si>
    <t>RM051</t>
  </si>
  <si>
    <t>RM052</t>
  </si>
  <si>
    <t>RM053</t>
  </si>
  <si>
    <t>Exclusive Thảo Điền</t>
  </si>
  <si>
    <t>RM054</t>
  </si>
  <si>
    <t>RM055</t>
  </si>
  <si>
    <t>RM056</t>
  </si>
  <si>
    <t>RM057</t>
  </si>
  <si>
    <t>RM058</t>
  </si>
  <si>
    <t>RM059</t>
  </si>
  <si>
    <t>RM060</t>
  </si>
  <si>
    <t>RM061</t>
  </si>
  <si>
    <t>RM062</t>
  </si>
  <si>
    <t>RM063</t>
  </si>
  <si>
    <t>RM064</t>
  </si>
  <si>
    <t>RM065</t>
  </si>
  <si>
    <t>RM066</t>
  </si>
  <si>
    <t>RM067</t>
  </si>
  <si>
    <t>RM068</t>
  </si>
  <si>
    <t>RM069</t>
  </si>
  <si>
    <t>RM070</t>
  </si>
  <si>
    <t>RM071</t>
  </si>
  <si>
    <t>RM072</t>
  </si>
  <si>
    <t>RM073</t>
  </si>
  <si>
    <t>Exclusive Tân Bình</t>
  </si>
  <si>
    <t>RM074</t>
  </si>
  <si>
    <t>RM075</t>
  </si>
  <si>
    <t>RM076</t>
  </si>
  <si>
    <t>RM077</t>
  </si>
  <si>
    <t>RM078</t>
  </si>
  <si>
    <t>RM079</t>
  </si>
  <si>
    <t>RM080</t>
  </si>
  <si>
    <t>RM081</t>
  </si>
  <si>
    <t>RM082</t>
  </si>
  <si>
    <t>RM083</t>
  </si>
  <si>
    <t>RM084</t>
  </si>
  <si>
    <t>RM085</t>
  </si>
  <si>
    <t>RM086</t>
  </si>
  <si>
    <t>RM087</t>
  </si>
  <si>
    <t>RM088</t>
  </si>
  <si>
    <t>RM089</t>
  </si>
  <si>
    <t>RM090</t>
  </si>
  <si>
    <t>RM091</t>
  </si>
  <si>
    <t>Exclusive Phú Nhuận</t>
  </si>
  <si>
    <t>RM092</t>
  </si>
  <si>
    <t>RM093</t>
  </si>
  <si>
    <t>RM094</t>
  </si>
  <si>
    <t>RM095</t>
  </si>
  <si>
    <t>RM096</t>
  </si>
  <si>
    <t>RM097</t>
  </si>
  <si>
    <t>RM098</t>
  </si>
  <si>
    <t>RM099</t>
  </si>
  <si>
    <t>RM100</t>
  </si>
  <si>
    <t>RM101</t>
  </si>
  <si>
    <t>RM102</t>
  </si>
  <si>
    <t>RM103</t>
  </si>
  <si>
    <t>RM104</t>
  </si>
  <si>
    <t>RM105</t>
  </si>
  <si>
    <t>RM106</t>
  </si>
  <si>
    <t>RM107</t>
  </si>
  <si>
    <t>Exclusive Hoàn Kiếm</t>
  </si>
  <si>
    <t>Miền Bắc</t>
  </si>
  <si>
    <t>RM108</t>
  </si>
  <si>
    <t>RM109</t>
  </si>
  <si>
    <t>RM110</t>
  </si>
  <si>
    <t>RM111</t>
  </si>
  <si>
    <t>RM112</t>
  </si>
  <si>
    <t>RM113</t>
  </si>
  <si>
    <t>RM114</t>
  </si>
  <si>
    <t>RM115</t>
  </si>
  <si>
    <t>RM116</t>
  </si>
  <si>
    <t>RM117</t>
  </si>
  <si>
    <t>RM118</t>
  </si>
  <si>
    <t>RM119</t>
  </si>
  <si>
    <t>RM120</t>
  </si>
  <si>
    <t>RM121</t>
  </si>
  <si>
    <t>RM122</t>
  </si>
  <si>
    <t>RM123</t>
  </si>
  <si>
    <t>RM124</t>
  </si>
  <si>
    <t>RM125</t>
  </si>
  <si>
    <t>RM126</t>
  </si>
  <si>
    <t>RM127</t>
  </si>
  <si>
    <t>RM128</t>
  </si>
  <si>
    <t>RM129</t>
  </si>
  <si>
    <t>RM130</t>
  </si>
  <si>
    <t>RM131</t>
  </si>
  <si>
    <t>RM132</t>
  </si>
  <si>
    <t>RM133</t>
  </si>
  <si>
    <t>RM134</t>
  </si>
  <si>
    <t>RM135</t>
  </si>
  <si>
    <t>Exclusive Tây Hồ</t>
  </si>
  <si>
    <t>RM136</t>
  </si>
  <si>
    <t>RM137</t>
  </si>
  <si>
    <t>RM138</t>
  </si>
  <si>
    <t>RM139</t>
  </si>
  <si>
    <t>RM140</t>
  </si>
  <si>
    <t>RM141</t>
  </si>
  <si>
    <t>RM142</t>
  </si>
  <si>
    <t>RM143</t>
  </si>
  <si>
    <t>RM144</t>
  </si>
  <si>
    <t>RM145</t>
  </si>
  <si>
    <t>RM146</t>
  </si>
  <si>
    <t>RM147</t>
  </si>
  <si>
    <t>RM148</t>
  </si>
  <si>
    <t>RM149</t>
  </si>
  <si>
    <t>RM150</t>
  </si>
  <si>
    <t>RM151</t>
  </si>
  <si>
    <t>RM152</t>
  </si>
  <si>
    <t>RM153</t>
  </si>
  <si>
    <t>RM154</t>
  </si>
  <si>
    <t>RM155</t>
  </si>
  <si>
    <t>Exclusive Cầu Giấy</t>
  </si>
  <si>
    <t>RM156</t>
  </si>
  <si>
    <t>RM157</t>
  </si>
  <si>
    <t>RM158</t>
  </si>
  <si>
    <t>RM159</t>
  </si>
  <si>
    <t>RM160</t>
  </si>
  <si>
    <t>RM161</t>
  </si>
  <si>
    <t>RM162</t>
  </si>
  <si>
    <t>RM163</t>
  </si>
  <si>
    <t>RM164</t>
  </si>
  <si>
    <t>RM165</t>
  </si>
  <si>
    <t>RM166</t>
  </si>
  <si>
    <t>RM167</t>
  </si>
  <si>
    <t>RM168</t>
  </si>
  <si>
    <t>RM169</t>
  </si>
  <si>
    <t>RM170</t>
  </si>
  <si>
    <t>RM171</t>
  </si>
  <si>
    <t>RM172</t>
  </si>
  <si>
    <t>RM173</t>
  </si>
  <si>
    <t>Exclusive Long Biên</t>
  </si>
  <si>
    <t>RM174</t>
  </si>
  <si>
    <t>RM175</t>
  </si>
  <si>
    <t>RM176</t>
  </si>
  <si>
    <t>RM177</t>
  </si>
  <si>
    <t>RM178</t>
  </si>
  <si>
    <t>RM179</t>
  </si>
  <si>
    <t>RM180</t>
  </si>
  <si>
    <t>RM181</t>
  </si>
  <si>
    <t>RM182</t>
  </si>
  <si>
    <t>RM183</t>
  </si>
  <si>
    <t>RM184</t>
  </si>
  <si>
    <t>RM185</t>
  </si>
  <si>
    <t>RM186</t>
  </si>
  <si>
    <t>RM187</t>
  </si>
  <si>
    <t>Exclusive Hải Châu</t>
  </si>
  <si>
    <t>Miền Trung</t>
  </si>
  <si>
    <t>RM188</t>
  </si>
  <si>
    <t>RM189</t>
  </si>
  <si>
    <t>RM190</t>
  </si>
  <si>
    <t>RM191</t>
  </si>
  <si>
    <t>RM192</t>
  </si>
  <si>
    <t>RM193</t>
  </si>
  <si>
    <t>RM194</t>
  </si>
  <si>
    <t>RM195</t>
  </si>
  <si>
    <t>RM196</t>
  </si>
  <si>
    <t>RM197</t>
  </si>
  <si>
    <t>RM198</t>
  </si>
  <si>
    <t>RM199</t>
  </si>
  <si>
    <t>RM200</t>
  </si>
  <si>
    <t>RM201</t>
  </si>
  <si>
    <t>RM202</t>
  </si>
  <si>
    <t>RM203</t>
  </si>
  <si>
    <t>RM204</t>
  </si>
  <si>
    <t>RM205</t>
  </si>
  <si>
    <t>Exclusive Sơn Trà</t>
  </si>
  <si>
    <t>RM206</t>
  </si>
  <si>
    <t>RM207</t>
  </si>
  <si>
    <t>RM208</t>
  </si>
  <si>
    <t>RM209</t>
  </si>
  <si>
    <t>RM210</t>
  </si>
  <si>
    <t>RM211</t>
  </si>
  <si>
    <t>RM212</t>
  </si>
  <si>
    <t>RM213</t>
  </si>
  <si>
    <t>RM214</t>
  </si>
  <si>
    <t>RM215</t>
  </si>
  <si>
    <t>RM216</t>
  </si>
  <si>
    <t>RM217</t>
  </si>
  <si>
    <t>Exclusive Ninh Kiều</t>
  </si>
  <si>
    <t>RM218</t>
  </si>
  <si>
    <t>RM219</t>
  </si>
  <si>
    <t>RM220</t>
  </si>
  <si>
    <t>RM221</t>
  </si>
  <si>
    <t>RM222</t>
  </si>
  <si>
    <t>RM223</t>
  </si>
  <si>
    <t>RM224</t>
  </si>
  <si>
    <t>RM225</t>
  </si>
  <si>
    <t>RM226</t>
  </si>
  <si>
    <t>RM227</t>
  </si>
  <si>
    <t>RM228</t>
  </si>
  <si>
    <t>RM229</t>
  </si>
  <si>
    <t>RM230</t>
  </si>
  <si>
    <t>RM231</t>
  </si>
  <si>
    <t>RM232</t>
  </si>
  <si>
    <t>RM233</t>
  </si>
  <si>
    <t>RM234</t>
  </si>
  <si>
    <t>RM235</t>
  </si>
  <si>
    <t>RM236</t>
  </si>
  <si>
    <t>RM237</t>
  </si>
  <si>
    <t>RM238</t>
  </si>
  <si>
    <t>RM239</t>
  </si>
  <si>
    <t>RM240</t>
  </si>
  <si>
    <t>Thu nhập hoạt động theo tháng - Khối Khách hàng Ưu tiên, 9 tháng 2026</t>
  </si>
  <si>
    <t>Đơn vị: tỷ đồng. NII = thu nhập lãi thuần sau điều chuyển vốn nội bộ (FTP). KH = kế hoạch, TH = thực hiện.</t>
  </si>
  <si>
    <t>Tháng</t>
  </si>
  <si>
    <t>NII KH</t>
  </si>
  <si>
    <t>Phí dịch vụ KH</t>
  </si>
  <si>
    <t>Tổng thu nhập KH</t>
  </si>
  <si>
    <t>NII TH</t>
  </si>
  <si>
    <t>Phí dịch vụ TH</t>
  </si>
  <si>
    <t>Tổng thu nhập TH</t>
  </si>
  <si>
    <t>Chênh lệch TH - KH</t>
  </si>
  <si>
    <t>% so với KH</t>
  </si>
  <si>
    <t>T1/2026</t>
  </si>
  <si>
    <t>T2/2026</t>
  </si>
  <si>
    <t>T3/2026</t>
  </si>
  <si>
    <t>T4/2026</t>
  </si>
  <si>
    <t>T5/2026</t>
  </si>
  <si>
    <t>T6/2026</t>
  </si>
  <si>
    <t>T7/2026</t>
  </si>
  <si>
    <t>T8/2026</t>
  </si>
  <si>
    <t>T9/2026</t>
  </si>
  <si>
    <t>Lũy kế 9T</t>
  </si>
  <si>
    <t>Kết quả kinh doanh Khối Khách hàng Ưu tiên - Kế hoạch và thực hiện Q3/2026</t>
  </si>
  <si>
    <t>Đơn vị: tỷ đồng, trừ khi ghi chú khác. Số dư là số cuối kỳ. Chi phí ghi số dương.</t>
  </si>
  <si>
    <t>Khoản mục</t>
  </si>
  <si>
    <t>TH vs KH</t>
  </si>
  <si>
    <t>% vs KH</t>
  </si>
  <si>
    <t>TH vs Q2</t>
  </si>
  <si>
    <t>% vs Q2</t>
  </si>
  <si>
    <t>Ghi chú</t>
  </si>
  <si>
    <t>KẾT QUẢ KINH DOANH</t>
  </si>
  <si>
    <t>Chi phí vốn tăng do huy động có kỳ hạn lãi suất cao</t>
  </si>
  <si>
    <t>Phí bancassurance</t>
  </si>
  <si>
    <t>Doanh số bảo hiểm liên kết đầu tư tăng mạnh</t>
  </si>
  <si>
    <t>Phí wealth management, trái phiếu, CCQ</t>
  </si>
  <si>
    <t>Phí thẻ và thanh toán</t>
  </si>
  <si>
    <t>Phí ngoại hối và chuyển tiền quốc tế</t>
  </si>
  <si>
    <t>Chi phí hoạt động</t>
  </si>
  <si>
    <t>Chi phí dự phòng rủi ro tín dụng</t>
  </si>
  <si>
    <t>Trích bổ sung cho nhóm vay đầu tư BĐS, chứng khoán</t>
  </si>
  <si>
    <t>QUY MÔ VÀ CHẤT LƯỢNG DANH MỤC</t>
  </si>
  <si>
    <t>Trong đó: tiền gửi không kỳ hạn (CASA)</t>
  </si>
  <si>
    <t>điểm %</t>
  </si>
  <si>
    <t>Trong đó: cho vay đầu tư BĐS và chứng khoán</t>
  </si>
  <si>
    <t>Tăng 22,5% so với Q2</t>
  </si>
  <si>
    <t>Tỷ trọng cho vay BĐS và chứng khoán</t>
  </si>
  <si>
    <t>Tỷ lệ nợ nhóm 2 (%)</t>
  </si>
  <si>
    <t>Tỷ lệ nợ xấu - NPL (%)</t>
  </si>
  <si>
    <t>Tài sản khách hàng quản lý (AUM)</t>
  </si>
  <si>
    <t>Đầu năm 2026: 96.800 tỷ đồng</t>
  </si>
  <si>
    <t>Số khách hàng Exclusive (người)</t>
  </si>
  <si>
    <t>Số RM Ưu tiên (người)</t>
  </si>
  <si>
    <t>CHỈ SỐ HIỆU QUẢ</t>
  </si>
  <si>
    <t>Tỷ trọng phí bancassurance / tổng phí</t>
  </si>
  <si>
    <t>Tỷ lệ chi phí trên thu nhập (CIR)</t>
  </si>
  <si>
    <t>Thu nhập hoạt động bình quân / RM</t>
  </si>
  <si>
    <t>Bảng cân đối thử - Ngân hàng (hợp nhất), 30/09/2026</t>
  </si>
  <si>
    <t>Đơn vị: tỷ đồng. Tài khoản thu nhập, chi phí là số phát sinh lũy kế 9 tháng 2026. Số liệu giả tưởng.</t>
  </si>
  <si>
    <t>Số hiệu TK</t>
  </si>
  <si>
    <t>Tên tài khoản</t>
  </si>
  <si>
    <t>Phân loại</t>
  </si>
  <si>
    <t>Dư Nợ</t>
  </si>
  <si>
    <t>Dư Có</t>
  </si>
  <si>
    <t>1011</t>
  </si>
  <si>
    <t>Tiền mặt, vàng bạc, đá quý</t>
  </si>
  <si>
    <t>Tài sản</t>
  </si>
  <si>
    <t>1113</t>
  </si>
  <si>
    <t>Tiền gửi tại Ngân hàng Nhà nước</t>
  </si>
  <si>
    <t>1311</t>
  </si>
  <si>
    <t>Tiền gửi và cho vay các TCTD khác</t>
  </si>
  <si>
    <t>1411</t>
  </si>
  <si>
    <t>Chứng khoán kinh doanh</t>
  </si>
  <si>
    <t>1511</t>
  </si>
  <si>
    <t>Chứng khoán đầu tư</t>
  </si>
  <si>
    <t>2111</t>
  </si>
  <si>
    <t>Cho vay khách hàng</t>
  </si>
  <si>
    <t>2191</t>
  </si>
  <si>
    <t>Dự phòng rủi ro cho vay khách hàng</t>
  </si>
  <si>
    <t>Tài sản (giảm trừ)</t>
  </si>
  <si>
    <t>3011</t>
  </si>
  <si>
    <t>Tài sản cố định</t>
  </si>
  <si>
    <t>3591</t>
  </si>
  <si>
    <t>Tài sản Có khác</t>
  </si>
  <si>
    <t>4111</t>
  </si>
  <si>
    <t>Tiền gửi và vay các TCTD khác</t>
  </si>
  <si>
    <t>Nợ phải trả</t>
  </si>
  <si>
    <t>4211</t>
  </si>
  <si>
    <t>Tiền gửi của khách hàng</t>
  </si>
  <si>
    <t>4311</t>
  </si>
  <si>
    <t>Phát hành giấy tờ có giá</t>
  </si>
  <si>
    <t>4591</t>
  </si>
  <si>
    <t>Các khoản nợ khác</t>
  </si>
  <si>
    <t>6011</t>
  </si>
  <si>
    <t>Vốn điều lệ</t>
  </si>
  <si>
    <t>Vốn chủ sở hữu</t>
  </si>
  <si>
    <t>6111</t>
  </si>
  <si>
    <t>Thặng dư vốn cổ phần</t>
  </si>
  <si>
    <t>6211</t>
  </si>
  <si>
    <t>Quỹ dự trữ bổ sung vốn điều lệ và quỹ dự phòng tài chính</t>
  </si>
  <si>
    <t>6911</t>
  </si>
  <si>
    <t>Lợi nhuận chưa phân phối (đầu kỳ)</t>
  </si>
  <si>
    <t>7011</t>
  </si>
  <si>
    <t>Thu nhập lãi và các khoản tương tự</t>
  </si>
  <si>
    <t>Thu nhập</t>
  </si>
  <si>
    <t>7111</t>
  </si>
  <si>
    <t>Thu nhập từ hoạt động dịch vụ</t>
  </si>
  <si>
    <t>7211</t>
  </si>
  <si>
    <t>Lãi thuần từ kinh doanh ngoại hối</t>
  </si>
  <si>
    <t>7411</t>
  </si>
  <si>
    <t>Lãi thuần từ chứng khoán đầu tư</t>
  </si>
  <si>
    <t>7911</t>
  </si>
  <si>
    <t>Thu nhập hoạt động khác</t>
  </si>
  <si>
    <t>8011</t>
  </si>
  <si>
    <t>Chi phí lãi và các khoản tương tự</t>
  </si>
  <si>
    <t>Chi phí</t>
  </si>
  <si>
    <t>8111</t>
  </si>
  <si>
    <t>Chi phí hoạt động dịch vụ</t>
  </si>
  <si>
    <t>8511</t>
  </si>
  <si>
    <t>8821</t>
  </si>
  <si>
    <t>8911</t>
  </si>
  <si>
    <t>Chi phí thuế thu nhập doanh nghiệp</t>
  </si>
  <si>
    <t>Tổng cộng</t>
  </si>
  <si>
    <t>Kiểm tra: Dư Nợ - Dư Có (phải bằng 0)</t>
  </si>
  <si>
    <t>Hiệu quả theo Trung tâm Exclusive - Q3/2026</t>
  </si>
  <si>
    <t>Đơn vị: tỷ đồng. Các cột số RM đến thu nhập lấy công thức từ sheet Danh mục RM; chi phí hoạt động Q3 là số phân bổ của Phòng Tài chính (nhập tay).</t>
  </si>
  <si>
    <t>Số RM</t>
  </si>
  <si>
    <t>KH / RM</t>
  </si>
  <si>
    <t>AUM / KH</t>
  </si>
  <si>
    <t>Thu nhập Q3</t>
  </si>
  <si>
    <t>Thu nhập / RM</t>
  </si>
  <si>
    <t>Chi phí hoạt động Q3</t>
  </si>
  <si>
    <t>CIR</t>
  </si>
  <si>
    <t>Toàn khối</t>
  </si>
  <si>
    <t>So sánh mảng Khách hàng Ưu tiên với nhóm ngân hàng cùng quy mô - Q3/2026</t>
  </si>
  <si>
    <t>Nguồn: tổng hợp nội bộ từ báo cáo tài chính và thông tin công bố của các ngân hàng cùng nhóm (đã ẩn danh). Số liệu giả tưởng, chỉ dùng cho mục đích đào tạo.</t>
  </si>
  <si>
    <t>Ngân hàng</t>
  </si>
  <si>
    <t>Tổng tài sản (nghìn tỷ)</t>
  </si>
  <si>
    <t>Tỷ lệ CASA KH Ưu tiên</t>
  </si>
  <si>
    <t>Tăng trưởng AUM từ đầu năm</t>
  </si>
  <si>
    <t>Tăng trưởng phí bancassurance so với cùng kỳ</t>
  </si>
  <si>
    <t>Tỷ lệ nợ nhóm 2</t>
  </si>
  <si>
    <t>CIR mảng Ưu tiên</t>
  </si>
  <si>
    <t>Ngân hàng cùng nhóm A</t>
  </si>
  <si>
    <t>Ngân hàng cùng nhóm B</t>
  </si>
  <si>
    <t>Ngân hàng cùng nhóm C</t>
  </si>
  <si>
    <t>Ngân hàng cùng nhóm D</t>
  </si>
  <si>
    <t>Ngân hàng cùng nhóm E</t>
  </si>
  <si>
    <t>Ngân hàng của chúng ta</t>
  </si>
  <si>
    <t>Trung vị nhóm so sánh (A-E)</t>
  </si>
  <si>
    <t>Chênh lệch so với trung vị</t>
  </si>
  <si>
    <t>Ghi chú: tăng trưởng phí bancassurance của Ngân hàng so với cùng kỳ (24%) do Phòng Tài chính cung cấp.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</si>
</sst>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quot;-&quot;"/>
    <numFmt numFmtId="166" formatCode="0.0%;\(0.0%\);&quot;-&quot;"/>
    <numFmt numFmtId="167" formatCode="#,##0.0;\(#,##0.0\);&quot;-&quot;"/>
    <numFmt numFmtId="168" formatCode="\+0.0%;\-0.0%;&quot;-&quot;"/>
  </numFmts>
  <fonts count="11" x14ac:knownFonts="1">
    <font>
      <sz val="11"/>
      <color theme="1"/>
      <name val="Calibri"/>
      <family val="2"/>
      <scheme val="minor"/>
    </font>
    <font>
      <b/>
      <sz val="14"/>
      <color rgb="FF0B3D5C"/>
      <name val="Arial"/>
    </font>
    <font>
      <i/>
      <sz val="9"/>
      <color rgb="FF595959"/>
      <name val="Arial"/>
    </font>
    <font>
      <b/>
      <sz val="11"/>
      <color rgb="FFFFFFFF"/>
      <name val="Arial"/>
    </font>
    <font>
      <sz val="11"/>
      <name val="Arial"/>
    </font>
    <font>
      <sz val="11"/>
      <color rgb="FF0000FF"/>
      <name val="Arial"/>
    </font>
    <font>
      <b/>
      <sz val="11"/>
      <name val="Arial"/>
    </font>
    <font>
      <sz val="11"/>
      <color rgb="FF008000"/>
      <name val="Arial"/>
    </font>
    <font>
      <b/>
      <sz val="11"/>
      <color rgb="FF008000"/>
      <name val="Arial"/>
    </font>
    <font>
      <b/>
      <sz val="11"/>
      <color rgb="FF0000FF"/>
      <name val="Arial"/>
    </font>
    <font>
      <sz val="11"/>
      <color theme="1"/>
      <name val="Arial"/>
    </font>
  </fonts>
  <fills count="5">
    <fill>
      <patternFill patternType="none"/>
    </fill>
    <fill>
      <patternFill patternType="gray125"/>
    </fill>
    <fill>
      <patternFill patternType="solid">
        <fgColor rgb="FF0B3D5C"/>
      </patternFill>
    </fill>
    <fill>
      <patternFill patternType="solid">
        <fgColor rgb="FFE8EEF3"/>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4">
    <xf numFmtId="0" fontId="0" fillId="0" borderId="0" xfId="0"/>
    <xf numFmtId="0" fontId="1" fillId="0" borderId="0" xfId="0" applyFont="1"/>
    <xf numFmtId="0" fontId="10" fillId="0" borderId="0" xfId="0" applyFont="1"/>
    <xf numFmtId="0" fontId="2" fillId="0" borderId="0" xfId="0" applyFont="1"/>
    <xf numFmtId="0" fontId="3" fillId="2" borderId="1" xfId="0" applyFont="1" applyFill="1" applyBorder="1" applyAlignment="1">
      <alignment horizontal="center" vertical="center" wrapText="1"/>
    </xf>
    <xf numFmtId="0" fontId="4" fillId="0" borderId="0" xfId="0" applyFont="1"/>
    <xf numFmtId="165" fontId="7" fillId="0" borderId="0" xfId="0" applyNumberFormat="1" applyFont="1"/>
    <xf numFmtId="166" fontId="10" fillId="0" borderId="0" xfId="0" applyNumberFormat="1" applyFont="1"/>
    <xf numFmtId="166" fontId="7" fillId="0" borderId="0" xfId="0" applyNumberFormat="1" applyFont="1"/>
    <xf numFmtId="0" fontId="10" fillId="0" borderId="0" xfId="0" applyFont="1" applyAlignment="1">
      <alignment horizontal="right"/>
    </xf>
    <xf numFmtId="168" fontId="10" fillId="0" borderId="0" xfId="0" applyNumberFormat="1" applyFont="1"/>
    <xf numFmtId="0" fontId="5" fillId="0" borderId="0" xfId="0" applyFont="1"/>
    <xf numFmtId="164" fontId="5" fillId="0" borderId="0" xfId="0" applyNumberFormat="1" applyFont="1"/>
    <xf numFmtId="4" fontId="5" fillId="0" borderId="0" xfId="0" applyNumberFormat="1" applyFont="1"/>
    <xf numFmtId="165" fontId="5" fillId="0" borderId="0" xfId="0" applyNumberFormat="1" applyFont="1"/>
    <xf numFmtId="165" fontId="4" fillId="0" borderId="0" xfId="0" applyNumberFormat="1" applyFont="1"/>
    <xf numFmtId="166" fontId="4" fillId="0" borderId="0" xfId="0" applyNumberFormat="1" applyFont="1"/>
    <xf numFmtId="0" fontId="6" fillId="0" borderId="0" xfId="0" applyFont="1"/>
    <xf numFmtId="165" fontId="6" fillId="0" borderId="0" xfId="0" applyNumberFormat="1" applyFont="1"/>
    <xf numFmtId="166" fontId="6" fillId="0" borderId="0" xfId="0" applyNumberFormat="1" applyFont="1"/>
    <xf numFmtId="0" fontId="6" fillId="3" borderId="0" xfId="0" applyFont="1" applyFill="1"/>
    <xf numFmtId="0" fontId="10" fillId="3" borderId="0" xfId="0" applyFont="1" applyFill="1"/>
    <xf numFmtId="166" fontId="5" fillId="0" borderId="0" xfId="0" applyNumberFormat="1" applyFont="1"/>
    <xf numFmtId="167" fontId="4" fillId="0" borderId="0" xfId="0" applyNumberFormat="1" applyFont="1"/>
    <xf numFmtId="165" fontId="10" fillId="0" borderId="0" xfId="0" applyNumberFormat="1" applyFont="1"/>
    <xf numFmtId="2" fontId="4" fillId="0" borderId="0" xfId="0" applyNumberFormat="1" applyFont="1"/>
    <xf numFmtId="167" fontId="7" fillId="0" borderId="0" xfId="0" applyNumberFormat="1" applyFont="1"/>
    <xf numFmtId="167" fontId="5" fillId="0" borderId="0" xfId="0" applyNumberFormat="1" applyFont="1"/>
    <xf numFmtId="167" fontId="6" fillId="0" borderId="0" xfId="0" applyNumberFormat="1" applyFont="1"/>
    <xf numFmtId="2" fontId="6" fillId="0" borderId="0" xfId="0" applyNumberFormat="1" applyFont="1"/>
    <xf numFmtId="0" fontId="6" fillId="4" borderId="0" xfId="0" applyFont="1" applyFill="1"/>
    <xf numFmtId="165" fontId="8" fillId="4" borderId="0" xfId="0" applyNumberFormat="1" applyFont="1" applyFill="1"/>
    <xf numFmtId="166" fontId="8" fillId="4" borderId="0" xfId="0" applyNumberFormat="1" applyFont="1" applyFill="1"/>
    <xf numFmtId="166" fontId="9" fillId="4" borderId="0" xfId="0" applyNumberFormat="1"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nhMucRM" displayName="DanhMucRM" ref="A4:L244">
  <autoFilter ref="A4:L244" xr:uid="{00000000-0009-0000-0100-000001000000}"/>
  <tableColumns count="12">
    <tableColumn id="1" xr3:uid="{00000000-0010-0000-0000-000001000000}" name="Mã RM"/>
    <tableColumn id="2" xr3:uid="{00000000-0010-0000-0000-000002000000}" name="Trung tâm"/>
    <tableColumn id="3" xr3:uid="{00000000-0010-0000-0000-000003000000}" name="Vùng"/>
    <tableColumn id="4" xr3:uid="{00000000-0010-0000-0000-000004000000}" name="Thâm niên (năm)"/>
    <tableColumn id="5" xr3:uid="{00000000-0010-0000-0000-000005000000}" name="Số KH"/>
    <tableColumn id="6" xr3:uid="{00000000-0010-0000-0000-000006000000}" name="Huy động"/>
    <tableColumn id="7" xr3:uid="{00000000-0010-0000-0000-000007000000}" name="Trong đó CASA"/>
    <tableColumn id="8" xr3:uid="{00000000-0010-0000-0000-000008000000}" name="Dư nợ"/>
    <tableColumn id="9" xr3:uid="{00000000-0010-0000-0000-000009000000}" name="AUM"/>
    <tableColumn id="10" xr3:uid="{00000000-0010-0000-0000-00000A000000}" name="Phí bancassurance Q3"/>
    <tableColumn id="11" xr3:uid="{00000000-0010-0000-0000-00000B000000}" name="Phí dịch vụ khác Q3"/>
    <tableColumn id="12" xr3:uid="{00000000-0010-0000-0000-00000C000000}" name="NII Q3"/>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huNhapThang" displayName="ThuNhapThang" ref="A4:I13">
  <autoFilter ref="A4:I13" xr:uid="{00000000-0009-0000-0100-000002000000}"/>
  <tableColumns count="9">
    <tableColumn id="1" xr3:uid="{00000000-0010-0000-0100-000001000000}" name="Tháng"/>
    <tableColumn id="2" xr3:uid="{00000000-0010-0000-0100-000002000000}" name="NII KH"/>
    <tableColumn id="3" xr3:uid="{00000000-0010-0000-0100-000003000000}" name="Phí dịch vụ KH"/>
    <tableColumn id="4" xr3:uid="{00000000-0010-0000-0100-000004000000}" name="Tổng thu nhập KH"/>
    <tableColumn id="5" xr3:uid="{00000000-0010-0000-0100-000005000000}" name="NII TH"/>
    <tableColumn id="6" xr3:uid="{00000000-0010-0000-0100-000006000000}" name="Phí dịch vụ TH"/>
    <tableColumn id="7" xr3:uid="{00000000-0010-0000-0100-000007000000}" name="Tổng thu nhập TH"/>
    <tableColumn id="8" xr3:uid="{00000000-0010-0000-0100-000008000000}" name="Chênh lệch TH - KH"/>
    <tableColumn id="9" xr3:uid="{00000000-0010-0000-0100-000009000000}" name="% so với KH"/>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rialBalance" displayName="TrialBalance" ref="A4:E31">
  <autoFilter ref="A4:E31" xr:uid="{00000000-0009-0000-0100-000003000000}"/>
  <tableColumns count="5">
    <tableColumn id="1" xr3:uid="{00000000-0010-0000-0200-000001000000}" name="Số hiệu TK"/>
    <tableColumn id="2" xr3:uid="{00000000-0010-0000-0200-000002000000}" name="Tên tài khoản"/>
    <tableColumn id="3" xr3:uid="{00000000-0010-0000-0200-000003000000}" name="Phân loại"/>
    <tableColumn id="4" xr3:uid="{00000000-0010-0000-0200-000004000000}" name="Dư Nợ"/>
    <tableColumn id="5" xr3:uid="{00000000-0010-0000-0200-000005000000}" name="Dư Có"/>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UnitEconomics" displayName="UnitEconomics" ref="A4:N16">
  <autoFilter ref="A4:N16" xr:uid="{00000000-0009-0000-0100-000004000000}"/>
  <tableColumns count="14">
    <tableColumn id="1" xr3:uid="{00000000-0010-0000-0300-000001000000}" name="Trung tâm"/>
    <tableColumn id="2" xr3:uid="{00000000-0010-0000-0300-000002000000}" name="Vùng"/>
    <tableColumn id="3" xr3:uid="{00000000-0010-0000-0300-000003000000}" name="Số RM"/>
    <tableColumn id="4" xr3:uid="{00000000-0010-0000-0300-000004000000}" name="Số KH"/>
    <tableColumn id="5" xr3:uid="{00000000-0010-0000-0300-000005000000}" name="KH / RM"/>
    <tableColumn id="6" xr3:uid="{00000000-0010-0000-0300-000006000000}" name="AUM"/>
    <tableColumn id="7" xr3:uid="{00000000-0010-0000-0300-000007000000}" name="AUM / KH"/>
    <tableColumn id="8" xr3:uid="{00000000-0010-0000-0300-000008000000}" name="Huy động"/>
    <tableColumn id="9" xr3:uid="{00000000-0010-0000-0300-000009000000}" name="Tỷ lệ CASA"/>
    <tableColumn id="10" xr3:uid="{00000000-0010-0000-0300-00000A000000}" name="Dư nợ"/>
    <tableColumn id="11" xr3:uid="{00000000-0010-0000-0300-00000B000000}" name="Thu nhập Q3"/>
    <tableColumn id="12" xr3:uid="{00000000-0010-0000-0300-00000C000000}" name="Thu nhập / RM"/>
    <tableColumn id="13" xr3:uid="{00000000-0010-0000-0300-00000D000000}" name="Chi phí hoạt động Q3"/>
    <tableColumn id="14" xr3:uid="{00000000-0010-0000-0300-00000E000000}" name="CIR"/>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omps" displayName="Comps" ref="A4:J10">
  <autoFilter ref="A4:J10" xr:uid="{00000000-0009-0000-0100-000005000000}"/>
  <tableColumns count="10">
    <tableColumn id="1" xr3:uid="{00000000-0010-0000-0400-000001000000}" name="Ngân hàng"/>
    <tableColumn id="2" xr3:uid="{00000000-0010-0000-0400-000002000000}" name="Tổng tài sản (nghìn tỷ)"/>
    <tableColumn id="3" xr3:uid="{00000000-0010-0000-0400-000003000000}" name="Tỷ lệ CASA KH Ưu tiên"/>
    <tableColumn id="4" xr3:uid="{00000000-0010-0000-0400-000004000000}" name="Tăng trưởng AUM từ đầu năm"/>
    <tableColumn id="5" xr3:uid="{00000000-0010-0000-0400-000005000000}" name="Tỷ trọng phí bancassurance / tổng phí"/>
    <tableColumn id="6" xr3:uid="{00000000-0010-0000-0400-000006000000}" name="Tăng trưởng phí bancassurance so với cùng kỳ"/>
    <tableColumn id="7" xr3:uid="{00000000-0010-0000-0400-000007000000}" name="Tỷ trọng cho vay BĐS và chứng khoán"/>
    <tableColumn id="8" xr3:uid="{00000000-0010-0000-0400-000008000000}" name="Tỷ lệ nợ nhóm 2"/>
    <tableColumn id="9" xr3:uid="{00000000-0010-0000-0400-000009000000}" name="Tỷ lệ NPL"/>
    <tableColumn id="10" xr3:uid="{00000000-0010-0000-0400-00000A000000}" name="CIR mảng Ưu tiê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
  <sheetViews>
    <sheetView tabSelected="1" workbookViewId="0"/>
  </sheetViews>
  <sheetFormatPr defaultRowHeight="14.4" x14ac:dyDescent="0.3"/>
  <cols>
    <col min="1" max="1" width="34" customWidth="1"/>
    <col min="2" max="4" width="13" customWidth="1"/>
    <col min="5" max="5" width="16" customWidth="1"/>
    <col min="6" max="6" width="20" customWidth="1"/>
  </cols>
  <sheetData>
    <row r="1" spans="1:6" ht="17.399999999999999" x14ac:dyDescent="0.3">
      <c r="A1" s="1" t="s">
        <v>0</v>
      </c>
      <c r="B1" s="2"/>
      <c r="C1" s="2"/>
      <c r="D1" s="2"/>
      <c r="E1" s="2"/>
      <c r="F1" s="2"/>
    </row>
    <row r="2" spans="1:6" x14ac:dyDescent="0.3">
      <c r="A2" s="3" t="s">
        <v>1</v>
      </c>
      <c r="B2" s="2"/>
      <c r="C2" s="2"/>
      <c r="D2" s="2"/>
      <c r="E2" s="2"/>
      <c r="F2" s="2"/>
    </row>
    <row r="3" spans="1:6" x14ac:dyDescent="0.3">
      <c r="A3" s="2"/>
      <c r="B3" s="2"/>
      <c r="C3" s="2"/>
      <c r="D3" s="2"/>
      <c r="E3" s="2"/>
      <c r="F3" s="2"/>
    </row>
    <row r="4" spans="1:6" ht="27.6" x14ac:dyDescent="0.3">
      <c r="A4" s="4" t="s">
        <v>2</v>
      </c>
      <c r="B4" s="4" t="s">
        <v>3</v>
      </c>
      <c r="C4" s="4" t="s">
        <v>4</v>
      </c>
      <c r="D4" s="4" t="s">
        <v>5</v>
      </c>
      <c r="E4" s="4" t="s">
        <v>6</v>
      </c>
      <c r="F4" s="4" t="s">
        <v>7</v>
      </c>
    </row>
    <row r="5" spans="1:6" x14ac:dyDescent="0.3">
      <c r="A5" s="5" t="s">
        <v>8</v>
      </c>
      <c r="B5" s="6">
        <f>PL_Budget_Actual!B12</f>
        <v>898</v>
      </c>
      <c r="C5" s="6">
        <f>PL_Budget_Actual!C12</f>
        <v>927</v>
      </c>
      <c r="D5" s="6">
        <f>PL_Budget_Actual!D12</f>
        <v>917</v>
      </c>
      <c r="E5" s="7">
        <f>IFERROR(D5/C5,0)</f>
        <v>0.98921251348435812</v>
      </c>
      <c r="F5" s="7">
        <f>IFERROR(D5/B5-1,0)</f>
        <v>2.1158129175946616E-2</v>
      </c>
    </row>
    <row r="6" spans="1:6" x14ac:dyDescent="0.3">
      <c r="A6" s="5" t="s">
        <v>9</v>
      </c>
      <c r="B6" s="6">
        <f>PL_Budget_Actual!B6</f>
        <v>600</v>
      </c>
      <c r="C6" s="6">
        <f>PL_Budget_Actual!C6</f>
        <v>627</v>
      </c>
      <c r="D6" s="6">
        <f>PL_Budget_Actual!D6</f>
        <v>594</v>
      </c>
      <c r="E6" s="7">
        <f>IFERROR(D6/C6,0)</f>
        <v>0.94736842105263153</v>
      </c>
      <c r="F6" s="7">
        <f>IFERROR(D6/B6-1,0)</f>
        <v>-1.0000000000000009E-2</v>
      </c>
    </row>
    <row r="7" spans="1:6" x14ac:dyDescent="0.3">
      <c r="A7" s="5" t="s">
        <v>10</v>
      </c>
      <c r="B7" s="6">
        <f>PL_Budget_Actual!B11</f>
        <v>298</v>
      </c>
      <c r="C7" s="6">
        <f>PL_Budget_Actual!C11</f>
        <v>300</v>
      </c>
      <c r="D7" s="6">
        <f>PL_Budget_Actual!D11</f>
        <v>323</v>
      </c>
      <c r="E7" s="7">
        <f>IFERROR(D7/C7,0)</f>
        <v>1.0766666666666667</v>
      </c>
      <c r="F7" s="7">
        <f>IFERROR(D7/B7-1,0)</f>
        <v>8.3892617449664364E-2</v>
      </c>
    </row>
    <row r="8" spans="1:6" x14ac:dyDescent="0.3">
      <c r="A8" s="5" t="s">
        <v>11</v>
      </c>
      <c r="B8" s="6">
        <f>PL_Budget_Actual!B15</f>
        <v>596</v>
      </c>
      <c r="C8" s="6">
        <f>PL_Budget_Actual!C15</f>
        <v>624</v>
      </c>
      <c r="D8" s="6">
        <f>PL_Budget_Actual!D15</f>
        <v>569</v>
      </c>
      <c r="E8" s="7">
        <f>IFERROR(D8/C8,0)</f>
        <v>0.91185897435897434</v>
      </c>
      <c r="F8" s="7">
        <f>IFERROR(D8/B8-1,0)</f>
        <v>-4.530201342281881E-2</v>
      </c>
    </row>
    <row r="9" spans="1:6" x14ac:dyDescent="0.3">
      <c r="A9" s="5" t="s">
        <v>12</v>
      </c>
      <c r="B9" s="6">
        <f>PL_Budget_Actual!B17</f>
        <v>56900</v>
      </c>
      <c r="C9" s="6">
        <f>PL_Budget_Actual!C17</f>
        <v>60500</v>
      </c>
      <c r="D9" s="6">
        <f>PL_Budget_Actual!D17</f>
        <v>58400</v>
      </c>
      <c r="E9" s="7">
        <f>IFERROR(D9/C9,0)</f>
        <v>0.96528925619834716</v>
      </c>
      <c r="F9" s="7">
        <f>IFERROR(D9/B9-1,0)</f>
        <v>2.6362038664323295E-2</v>
      </c>
    </row>
    <row r="10" spans="1:6" x14ac:dyDescent="0.3">
      <c r="A10" s="5" t="s">
        <v>13</v>
      </c>
      <c r="B10" s="8">
        <f>PL_Budget_Actual!B19</f>
        <v>0.18101933216168717</v>
      </c>
      <c r="C10" s="8">
        <f>PL_Budget_Actual!C19</f>
        <v>0.19008264462809918</v>
      </c>
      <c r="D10" s="8">
        <f>PL_Budget_Actual!D19</f>
        <v>0.16523972602739725</v>
      </c>
      <c r="E10" s="9" t="s">
        <v>14</v>
      </c>
      <c r="F10" s="10">
        <f>D10-B10</f>
        <v>-1.5779606134289914E-2</v>
      </c>
    </row>
    <row r="11" spans="1:6" x14ac:dyDescent="0.3">
      <c r="A11" s="5" t="s">
        <v>15</v>
      </c>
      <c r="B11" s="6">
        <f>PL_Budget_Actual!B20</f>
        <v>19800</v>
      </c>
      <c r="C11" s="6">
        <f>PL_Budget_Actual!C20</f>
        <v>21000</v>
      </c>
      <c r="D11" s="6">
        <f>PL_Budget_Actual!D20</f>
        <v>21600</v>
      </c>
      <c r="E11" s="7">
        <f>IFERROR(D11/C11,0)</f>
        <v>1.0285714285714285</v>
      </c>
      <c r="F11" s="7">
        <f>IFERROR(D11/B11-1,0)</f>
        <v>9.0909090909090828E-2</v>
      </c>
    </row>
    <row r="12" spans="1:6" x14ac:dyDescent="0.3">
      <c r="A12" s="5" t="s">
        <v>16</v>
      </c>
      <c r="B12" s="8">
        <f>PL_Budget_Actual!B24</f>
        <v>9.4999999999999998E-3</v>
      </c>
      <c r="C12" s="8">
        <f>PL_Budget_Actual!C24</f>
        <v>0.01</v>
      </c>
      <c r="D12" s="8">
        <f>PL_Budget_Actual!D24</f>
        <v>1.32E-2</v>
      </c>
      <c r="E12" s="9" t="s">
        <v>14</v>
      </c>
      <c r="F12" s="10">
        <f>D12-B12</f>
        <v>3.7000000000000002E-3</v>
      </c>
    </row>
    <row r="13" spans="1:6" x14ac:dyDescent="0.3">
      <c r="A13" s="5" t="s">
        <v>17</v>
      </c>
      <c r="B13" s="6">
        <f>PL_Budget_Actual!B25</f>
        <v>95700</v>
      </c>
      <c r="C13" s="6">
        <f>PL_Budget_Actual!C25</f>
        <v>101000</v>
      </c>
      <c r="D13" s="6">
        <f>PL_Budget_Actual!D25</f>
        <v>98500</v>
      </c>
      <c r="E13" s="7">
        <f>IFERROR(D13/C13,0)</f>
        <v>0.97524752475247523</v>
      </c>
      <c r="F13" s="7">
        <f>IFERROR(D13/B13-1,0)</f>
        <v>2.925809822361547E-2</v>
      </c>
    </row>
    <row r="14" spans="1:6" x14ac:dyDescent="0.3">
      <c r="A14" s="5" t="s">
        <v>18</v>
      </c>
      <c r="B14" s="6">
        <f>PL_Budget_Actual!B26</f>
        <v>19050</v>
      </c>
      <c r="C14" s="6">
        <f>PL_Budget_Actual!C26</f>
        <v>19600</v>
      </c>
      <c r="D14" s="6">
        <f>PL_Budget_Actual!D26</f>
        <v>19240</v>
      </c>
      <c r="E14" s="7">
        <f>IFERROR(D14/C14,0)</f>
        <v>0.98163265306122449</v>
      </c>
      <c r="F14" s="7">
        <f>IFERROR(D14/B14-1,0)</f>
        <v>9.9737532808399365E-3</v>
      </c>
    </row>
    <row r="15" spans="1:6" x14ac:dyDescent="0.3">
      <c r="A15" s="2"/>
      <c r="B15" s="2"/>
      <c r="C15" s="2"/>
      <c r="D15" s="2"/>
      <c r="E15" s="2"/>
      <c r="F15" s="2"/>
    </row>
    <row r="16" spans="1:6" x14ac:dyDescent="0.3">
      <c r="A16" s="3" t="s">
        <v>19</v>
      </c>
      <c r="B16" s="2"/>
      <c r="C16" s="2"/>
      <c r="D16" s="2"/>
      <c r="E16" s="2"/>
      <c r="F16"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44"/>
  <sheetViews>
    <sheetView workbookViewId="0">
      <pane ySplit="4" topLeftCell="A5" activePane="bottomLeft" state="frozen"/>
      <selection pane="bottomLeft"/>
    </sheetView>
  </sheetViews>
  <sheetFormatPr defaultRowHeight="14.4" x14ac:dyDescent="0.3"/>
  <cols>
    <col min="1" max="1" width="10" customWidth="1"/>
    <col min="2" max="2" width="24" customWidth="1"/>
    <col min="3" max="4" width="12" customWidth="1"/>
    <col min="5" max="5" width="9" customWidth="1"/>
    <col min="6" max="6" width="12" customWidth="1"/>
    <col min="7" max="7" width="13" customWidth="1"/>
    <col min="8" max="9" width="11" customWidth="1"/>
    <col min="10" max="11" width="14" customWidth="1"/>
    <col min="12" max="12" width="10" customWidth="1"/>
  </cols>
  <sheetData>
    <row r="1" spans="1:12" ht="17.399999999999999" x14ac:dyDescent="0.3">
      <c r="A1" s="1" t="s">
        <v>20</v>
      </c>
      <c r="B1" s="2"/>
      <c r="C1" s="2"/>
      <c r="D1" s="2"/>
      <c r="E1" s="2"/>
      <c r="F1" s="2"/>
      <c r="G1" s="2"/>
      <c r="H1" s="2"/>
      <c r="I1" s="2"/>
      <c r="J1" s="2"/>
      <c r="K1" s="2"/>
      <c r="L1" s="2"/>
    </row>
    <row r="2" spans="1:12" x14ac:dyDescent="0.3">
      <c r="A2" s="3" t="s">
        <v>21</v>
      </c>
      <c r="B2" s="2"/>
      <c r="C2" s="2"/>
      <c r="D2" s="2"/>
      <c r="E2" s="2"/>
      <c r="F2" s="2"/>
      <c r="G2" s="2"/>
      <c r="H2" s="2"/>
      <c r="I2" s="2"/>
      <c r="J2" s="2"/>
      <c r="K2" s="2"/>
      <c r="L2" s="2"/>
    </row>
    <row r="3" spans="1:12" x14ac:dyDescent="0.3">
      <c r="A3" s="2"/>
      <c r="B3" s="2"/>
      <c r="C3" s="2"/>
      <c r="D3" s="2"/>
      <c r="E3" s="2"/>
      <c r="F3" s="2"/>
      <c r="G3" s="2"/>
      <c r="H3" s="2"/>
      <c r="I3" s="2"/>
      <c r="J3" s="2"/>
      <c r="K3" s="2"/>
      <c r="L3" s="2"/>
    </row>
    <row r="4" spans="1:12" ht="41.4" x14ac:dyDescent="0.3">
      <c r="A4" s="4" t="s">
        <v>22</v>
      </c>
      <c r="B4" s="4" t="s">
        <v>23</v>
      </c>
      <c r="C4" s="4" t="s">
        <v>24</v>
      </c>
      <c r="D4" s="4" t="s">
        <v>25</v>
      </c>
      <c r="E4" s="4" t="s">
        <v>26</v>
      </c>
      <c r="F4" s="4" t="s">
        <v>27</v>
      </c>
      <c r="G4" s="4" t="s">
        <v>28</v>
      </c>
      <c r="H4" s="4" t="s">
        <v>29</v>
      </c>
      <c r="I4" s="4" t="s">
        <v>17</v>
      </c>
      <c r="J4" s="4" t="s">
        <v>30</v>
      </c>
      <c r="K4" s="4" t="s">
        <v>31</v>
      </c>
      <c r="L4" s="4" t="s">
        <v>32</v>
      </c>
    </row>
    <row r="5" spans="1:12" x14ac:dyDescent="0.3">
      <c r="A5" s="5" t="s">
        <v>33</v>
      </c>
      <c r="B5" s="5" t="s">
        <v>34</v>
      </c>
      <c r="C5" s="5" t="s">
        <v>35</v>
      </c>
      <c r="D5" s="11">
        <v>7</v>
      </c>
      <c r="E5" s="11">
        <v>63</v>
      </c>
      <c r="F5" s="12">
        <v>196.1</v>
      </c>
      <c r="G5" s="12">
        <v>37.299999999999997</v>
      </c>
      <c r="H5" s="12">
        <v>74.900000000000006</v>
      </c>
      <c r="I5" s="12">
        <v>354</v>
      </c>
      <c r="J5" s="13">
        <v>0.54</v>
      </c>
      <c r="K5" s="13">
        <v>0.54</v>
      </c>
      <c r="L5" s="13">
        <v>1.66</v>
      </c>
    </row>
    <row r="6" spans="1:12" x14ac:dyDescent="0.3">
      <c r="A6" s="5" t="s">
        <v>36</v>
      </c>
      <c r="B6" s="5" t="s">
        <v>34</v>
      </c>
      <c r="C6" s="5" t="s">
        <v>35</v>
      </c>
      <c r="D6" s="11">
        <v>6</v>
      </c>
      <c r="E6" s="11">
        <v>113</v>
      </c>
      <c r="F6" s="12">
        <v>370.6</v>
      </c>
      <c r="G6" s="12">
        <v>57.6</v>
      </c>
      <c r="H6" s="12">
        <v>123.7</v>
      </c>
      <c r="I6" s="12">
        <v>537</v>
      </c>
      <c r="J6" s="13">
        <v>1.06</v>
      </c>
      <c r="K6" s="13">
        <v>0.94</v>
      </c>
      <c r="L6" s="13">
        <v>3.54</v>
      </c>
    </row>
    <row r="7" spans="1:12" x14ac:dyDescent="0.3">
      <c r="A7" s="5" t="s">
        <v>37</v>
      </c>
      <c r="B7" s="5" t="s">
        <v>34</v>
      </c>
      <c r="C7" s="5" t="s">
        <v>35</v>
      </c>
      <c r="D7" s="11">
        <v>10</v>
      </c>
      <c r="E7" s="11">
        <v>89</v>
      </c>
      <c r="F7" s="12">
        <v>313.60000000000002</v>
      </c>
      <c r="G7" s="12">
        <v>50.5</v>
      </c>
      <c r="H7" s="12">
        <v>134.80000000000001</v>
      </c>
      <c r="I7" s="12">
        <v>521.29999999999995</v>
      </c>
      <c r="J7" s="13">
        <v>0.74</v>
      </c>
      <c r="K7" s="13">
        <v>0.95</v>
      </c>
      <c r="L7" s="13">
        <v>3.02</v>
      </c>
    </row>
    <row r="8" spans="1:12" x14ac:dyDescent="0.3">
      <c r="A8" s="5" t="s">
        <v>38</v>
      </c>
      <c r="B8" s="5" t="s">
        <v>34</v>
      </c>
      <c r="C8" s="5" t="s">
        <v>35</v>
      </c>
      <c r="D8" s="11">
        <v>2</v>
      </c>
      <c r="E8" s="11">
        <v>99</v>
      </c>
      <c r="F8" s="12">
        <v>311.89999999999998</v>
      </c>
      <c r="G8" s="12">
        <v>51.9</v>
      </c>
      <c r="H8" s="12">
        <v>130.69999999999999</v>
      </c>
      <c r="I8" s="12">
        <v>594.20000000000005</v>
      </c>
      <c r="J8" s="13">
        <v>0.86</v>
      </c>
      <c r="K8" s="13">
        <v>0.72</v>
      </c>
      <c r="L8" s="13">
        <v>3.17</v>
      </c>
    </row>
    <row r="9" spans="1:12" x14ac:dyDescent="0.3">
      <c r="A9" s="5" t="s">
        <v>39</v>
      </c>
      <c r="B9" s="5" t="s">
        <v>34</v>
      </c>
      <c r="C9" s="5" t="s">
        <v>35</v>
      </c>
      <c r="D9" s="11">
        <v>5</v>
      </c>
      <c r="E9" s="11">
        <v>63</v>
      </c>
      <c r="F9" s="12">
        <v>275.5</v>
      </c>
      <c r="G9" s="12">
        <v>47.2</v>
      </c>
      <c r="H9" s="12">
        <v>96.4</v>
      </c>
      <c r="I9" s="12">
        <v>405.8</v>
      </c>
      <c r="J9" s="13">
        <v>0.72</v>
      </c>
      <c r="K9" s="13">
        <v>0.75</v>
      </c>
      <c r="L9" s="13">
        <v>2.46</v>
      </c>
    </row>
    <row r="10" spans="1:12" x14ac:dyDescent="0.3">
      <c r="A10" s="5" t="s">
        <v>40</v>
      </c>
      <c r="B10" s="5" t="s">
        <v>34</v>
      </c>
      <c r="C10" s="5" t="s">
        <v>35</v>
      </c>
      <c r="D10" s="11">
        <v>7</v>
      </c>
      <c r="E10" s="11">
        <v>69</v>
      </c>
      <c r="F10" s="12">
        <v>248.7</v>
      </c>
      <c r="G10" s="12">
        <v>47.3</v>
      </c>
      <c r="H10" s="12">
        <v>80.7</v>
      </c>
      <c r="I10" s="12">
        <v>431.4</v>
      </c>
      <c r="J10" s="13">
        <v>0.45</v>
      </c>
      <c r="K10" s="13">
        <v>0.6</v>
      </c>
      <c r="L10" s="13">
        <v>2.0299999999999998</v>
      </c>
    </row>
    <row r="11" spans="1:12" x14ac:dyDescent="0.3">
      <c r="A11" s="5" t="s">
        <v>41</v>
      </c>
      <c r="B11" s="5" t="s">
        <v>34</v>
      </c>
      <c r="C11" s="5" t="s">
        <v>35</v>
      </c>
      <c r="D11" s="11">
        <v>7</v>
      </c>
      <c r="E11" s="11">
        <v>56</v>
      </c>
      <c r="F11" s="12">
        <v>150.80000000000001</v>
      </c>
      <c r="G11" s="12">
        <v>26.4</v>
      </c>
      <c r="H11" s="12">
        <v>53.9</v>
      </c>
      <c r="I11" s="12">
        <v>286.8</v>
      </c>
      <c r="J11" s="13">
        <v>0.36</v>
      </c>
      <c r="K11" s="13">
        <v>0.53</v>
      </c>
      <c r="L11" s="13">
        <v>1.59</v>
      </c>
    </row>
    <row r="12" spans="1:12" x14ac:dyDescent="0.3">
      <c r="A12" s="5" t="s">
        <v>42</v>
      </c>
      <c r="B12" s="5" t="s">
        <v>34</v>
      </c>
      <c r="C12" s="5" t="s">
        <v>35</v>
      </c>
      <c r="D12" s="11">
        <v>6</v>
      </c>
      <c r="E12" s="11">
        <v>84</v>
      </c>
      <c r="F12" s="12">
        <v>306</v>
      </c>
      <c r="G12" s="12">
        <v>59</v>
      </c>
      <c r="H12" s="12">
        <v>73.3</v>
      </c>
      <c r="I12" s="12">
        <v>439.4</v>
      </c>
      <c r="J12" s="13">
        <v>0.86</v>
      </c>
      <c r="K12" s="13">
        <v>0.73</v>
      </c>
      <c r="L12" s="13">
        <v>2.52</v>
      </c>
    </row>
    <row r="13" spans="1:12" x14ac:dyDescent="0.3">
      <c r="A13" s="5" t="s">
        <v>43</v>
      </c>
      <c r="B13" s="5" t="s">
        <v>34</v>
      </c>
      <c r="C13" s="5" t="s">
        <v>35</v>
      </c>
      <c r="D13" s="11">
        <v>5</v>
      </c>
      <c r="E13" s="11">
        <v>93</v>
      </c>
      <c r="F13" s="12">
        <v>306.60000000000002</v>
      </c>
      <c r="G13" s="12">
        <v>48.1</v>
      </c>
      <c r="H13" s="12">
        <v>75.400000000000006</v>
      </c>
      <c r="I13" s="12">
        <v>575.70000000000005</v>
      </c>
      <c r="J13" s="13">
        <v>0.86</v>
      </c>
      <c r="K13" s="13">
        <v>0.85</v>
      </c>
      <c r="L13" s="13">
        <v>2.95</v>
      </c>
    </row>
    <row r="14" spans="1:12" x14ac:dyDescent="0.3">
      <c r="A14" s="5" t="s">
        <v>44</v>
      </c>
      <c r="B14" s="5" t="s">
        <v>34</v>
      </c>
      <c r="C14" s="5" t="s">
        <v>35</v>
      </c>
      <c r="D14" s="11">
        <v>3</v>
      </c>
      <c r="E14" s="11">
        <v>75</v>
      </c>
      <c r="F14" s="12">
        <v>275.5</v>
      </c>
      <c r="G14" s="12">
        <v>46.6</v>
      </c>
      <c r="H14" s="12">
        <v>106.1</v>
      </c>
      <c r="I14" s="12">
        <v>508.9</v>
      </c>
      <c r="J14" s="13">
        <v>0.71</v>
      </c>
      <c r="K14" s="13">
        <v>0.86</v>
      </c>
      <c r="L14" s="13">
        <v>2.73</v>
      </c>
    </row>
    <row r="15" spans="1:12" x14ac:dyDescent="0.3">
      <c r="A15" s="5" t="s">
        <v>45</v>
      </c>
      <c r="B15" s="5" t="s">
        <v>34</v>
      </c>
      <c r="C15" s="5" t="s">
        <v>35</v>
      </c>
      <c r="D15" s="11">
        <v>2</v>
      </c>
      <c r="E15" s="11">
        <v>67</v>
      </c>
      <c r="F15" s="12">
        <v>250.6</v>
      </c>
      <c r="G15" s="12">
        <v>48.1</v>
      </c>
      <c r="H15" s="12">
        <v>64.5</v>
      </c>
      <c r="I15" s="12">
        <v>446.4</v>
      </c>
      <c r="J15" s="13">
        <v>0.47</v>
      </c>
      <c r="K15" s="13">
        <v>0.61</v>
      </c>
      <c r="L15" s="13">
        <v>2.25</v>
      </c>
    </row>
    <row r="16" spans="1:12" x14ac:dyDescent="0.3">
      <c r="A16" s="5" t="s">
        <v>46</v>
      </c>
      <c r="B16" s="5" t="s">
        <v>34</v>
      </c>
      <c r="C16" s="5" t="s">
        <v>35</v>
      </c>
      <c r="D16" s="11">
        <v>10</v>
      </c>
      <c r="E16" s="11">
        <v>104</v>
      </c>
      <c r="F16" s="12">
        <v>384.4</v>
      </c>
      <c r="G16" s="12">
        <v>57</v>
      </c>
      <c r="H16" s="12">
        <v>141.6</v>
      </c>
      <c r="I16" s="12">
        <v>630.20000000000005</v>
      </c>
      <c r="J16" s="13">
        <v>0.92</v>
      </c>
      <c r="K16" s="13">
        <v>0.82</v>
      </c>
      <c r="L16" s="13">
        <v>2.93</v>
      </c>
    </row>
    <row r="17" spans="1:12" x14ac:dyDescent="0.3">
      <c r="A17" s="5" t="s">
        <v>47</v>
      </c>
      <c r="B17" s="5" t="s">
        <v>34</v>
      </c>
      <c r="C17" s="5" t="s">
        <v>35</v>
      </c>
      <c r="D17" s="11">
        <v>2</v>
      </c>
      <c r="E17" s="11">
        <v>90</v>
      </c>
      <c r="F17" s="12">
        <v>271.60000000000002</v>
      </c>
      <c r="G17" s="12">
        <v>40.6</v>
      </c>
      <c r="H17" s="12">
        <v>69.5</v>
      </c>
      <c r="I17" s="12">
        <v>509.6</v>
      </c>
      <c r="J17" s="13">
        <v>0.64</v>
      </c>
      <c r="K17" s="13">
        <v>0.88</v>
      </c>
      <c r="L17" s="13">
        <v>2.56</v>
      </c>
    </row>
    <row r="18" spans="1:12" x14ac:dyDescent="0.3">
      <c r="A18" s="5" t="s">
        <v>48</v>
      </c>
      <c r="B18" s="5" t="s">
        <v>34</v>
      </c>
      <c r="C18" s="5" t="s">
        <v>35</v>
      </c>
      <c r="D18" s="11">
        <v>10</v>
      </c>
      <c r="E18" s="11">
        <v>48</v>
      </c>
      <c r="F18" s="12">
        <v>173.8</v>
      </c>
      <c r="G18" s="12">
        <v>33.299999999999997</v>
      </c>
      <c r="H18" s="12">
        <v>51.3</v>
      </c>
      <c r="I18" s="12">
        <v>288.60000000000002</v>
      </c>
      <c r="J18" s="13">
        <v>0.31</v>
      </c>
      <c r="K18" s="13">
        <v>0.38</v>
      </c>
      <c r="L18" s="13">
        <v>1.48</v>
      </c>
    </row>
    <row r="19" spans="1:12" x14ac:dyDescent="0.3">
      <c r="A19" s="5" t="s">
        <v>49</v>
      </c>
      <c r="B19" s="5" t="s">
        <v>34</v>
      </c>
      <c r="C19" s="5" t="s">
        <v>35</v>
      </c>
      <c r="D19" s="11">
        <v>7</v>
      </c>
      <c r="E19" s="11">
        <v>106</v>
      </c>
      <c r="F19" s="12">
        <v>379.3</v>
      </c>
      <c r="G19" s="12">
        <v>57.4</v>
      </c>
      <c r="H19" s="12">
        <v>97.4</v>
      </c>
      <c r="I19" s="12">
        <v>710.2</v>
      </c>
      <c r="J19" s="13">
        <v>1.01</v>
      </c>
      <c r="K19" s="13">
        <v>1.04</v>
      </c>
      <c r="L19" s="13">
        <v>3.37</v>
      </c>
    </row>
    <row r="20" spans="1:12" x14ac:dyDescent="0.3">
      <c r="A20" s="5" t="s">
        <v>50</v>
      </c>
      <c r="B20" s="5" t="s">
        <v>34</v>
      </c>
      <c r="C20" s="5" t="s">
        <v>35</v>
      </c>
      <c r="D20" s="11">
        <v>3</v>
      </c>
      <c r="E20" s="11">
        <v>55</v>
      </c>
      <c r="F20" s="12">
        <v>222</v>
      </c>
      <c r="G20" s="12">
        <v>36.200000000000003</v>
      </c>
      <c r="H20" s="12">
        <v>46.5</v>
      </c>
      <c r="I20" s="12">
        <v>361.4</v>
      </c>
      <c r="J20" s="13">
        <v>0.53</v>
      </c>
      <c r="K20" s="13">
        <v>0.61</v>
      </c>
      <c r="L20" s="13">
        <v>1.98</v>
      </c>
    </row>
    <row r="21" spans="1:12" x14ac:dyDescent="0.3">
      <c r="A21" s="5" t="s">
        <v>51</v>
      </c>
      <c r="B21" s="5" t="s">
        <v>34</v>
      </c>
      <c r="C21" s="5" t="s">
        <v>35</v>
      </c>
      <c r="D21" s="11">
        <v>6</v>
      </c>
      <c r="E21" s="11">
        <v>46</v>
      </c>
      <c r="F21" s="12">
        <v>155.9</v>
      </c>
      <c r="G21" s="12">
        <v>24.9</v>
      </c>
      <c r="H21" s="12">
        <v>41</v>
      </c>
      <c r="I21" s="12">
        <v>316.5</v>
      </c>
      <c r="J21" s="13">
        <v>0.43</v>
      </c>
      <c r="K21" s="13">
        <v>0.49</v>
      </c>
      <c r="L21" s="13">
        <v>1.33</v>
      </c>
    </row>
    <row r="22" spans="1:12" x14ac:dyDescent="0.3">
      <c r="A22" s="5" t="s">
        <v>52</v>
      </c>
      <c r="B22" s="5" t="s">
        <v>34</v>
      </c>
      <c r="C22" s="5" t="s">
        <v>35</v>
      </c>
      <c r="D22" s="11">
        <v>5</v>
      </c>
      <c r="E22" s="11">
        <v>86</v>
      </c>
      <c r="F22" s="12">
        <v>280.39999999999998</v>
      </c>
      <c r="G22" s="12">
        <v>43.5</v>
      </c>
      <c r="H22" s="12">
        <v>102.5</v>
      </c>
      <c r="I22" s="12">
        <v>484.8</v>
      </c>
      <c r="J22" s="13">
        <v>0.51</v>
      </c>
      <c r="K22" s="13">
        <v>0.8</v>
      </c>
      <c r="L22" s="13">
        <v>2.29</v>
      </c>
    </row>
    <row r="23" spans="1:12" x14ac:dyDescent="0.3">
      <c r="A23" s="5" t="s">
        <v>53</v>
      </c>
      <c r="B23" s="5" t="s">
        <v>34</v>
      </c>
      <c r="C23" s="5" t="s">
        <v>35</v>
      </c>
      <c r="D23" s="11">
        <v>1</v>
      </c>
      <c r="E23" s="11">
        <v>90</v>
      </c>
      <c r="F23" s="12">
        <v>338.8</v>
      </c>
      <c r="G23" s="12">
        <v>51.8</v>
      </c>
      <c r="H23" s="12">
        <v>113.6</v>
      </c>
      <c r="I23" s="12">
        <v>589.9</v>
      </c>
      <c r="J23" s="13">
        <v>0.61</v>
      </c>
      <c r="K23" s="13">
        <v>0.85</v>
      </c>
      <c r="L23" s="13">
        <v>3.06</v>
      </c>
    </row>
    <row r="24" spans="1:12" x14ac:dyDescent="0.3">
      <c r="A24" s="5" t="s">
        <v>54</v>
      </c>
      <c r="B24" s="5" t="s">
        <v>34</v>
      </c>
      <c r="C24" s="5" t="s">
        <v>35</v>
      </c>
      <c r="D24" s="11">
        <v>2</v>
      </c>
      <c r="E24" s="11">
        <v>74</v>
      </c>
      <c r="F24" s="12">
        <v>312.5</v>
      </c>
      <c r="G24" s="12">
        <v>50.9</v>
      </c>
      <c r="H24" s="12">
        <v>86.7</v>
      </c>
      <c r="I24" s="12">
        <v>464.6</v>
      </c>
      <c r="J24" s="13">
        <v>0.52</v>
      </c>
      <c r="K24" s="13">
        <v>0.69</v>
      </c>
      <c r="L24" s="13">
        <v>2.42</v>
      </c>
    </row>
    <row r="25" spans="1:12" x14ac:dyDescent="0.3">
      <c r="A25" s="5" t="s">
        <v>55</v>
      </c>
      <c r="B25" s="5" t="s">
        <v>34</v>
      </c>
      <c r="C25" s="5" t="s">
        <v>35</v>
      </c>
      <c r="D25" s="11">
        <v>6</v>
      </c>
      <c r="E25" s="11">
        <v>75</v>
      </c>
      <c r="F25" s="12">
        <v>243.7</v>
      </c>
      <c r="G25" s="12">
        <v>38.5</v>
      </c>
      <c r="H25" s="12">
        <v>57.5</v>
      </c>
      <c r="I25" s="12">
        <v>376.9</v>
      </c>
      <c r="J25" s="13">
        <v>0.53</v>
      </c>
      <c r="K25" s="13">
        <v>0.6</v>
      </c>
      <c r="L25" s="13">
        <v>2.0099999999999998</v>
      </c>
    </row>
    <row r="26" spans="1:12" x14ac:dyDescent="0.3">
      <c r="A26" s="5" t="s">
        <v>56</v>
      </c>
      <c r="B26" s="5" t="s">
        <v>34</v>
      </c>
      <c r="C26" s="5" t="s">
        <v>35</v>
      </c>
      <c r="D26" s="11">
        <v>2</v>
      </c>
      <c r="E26" s="11">
        <v>73</v>
      </c>
      <c r="F26" s="12">
        <v>207</v>
      </c>
      <c r="G26" s="12">
        <v>39.6</v>
      </c>
      <c r="H26" s="12">
        <v>88.5</v>
      </c>
      <c r="I26" s="12">
        <v>395.5</v>
      </c>
      <c r="J26" s="13">
        <v>0.53</v>
      </c>
      <c r="K26" s="13">
        <v>0.67</v>
      </c>
      <c r="L26" s="13">
        <v>2.23</v>
      </c>
    </row>
    <row r="27" spans="1:12" x14ac:dyDescent="0.3">
      <c r="A27" s="5" t="s">
        <v>57</v>
      </c>
      <c r="B27" s="5" t="s">
        <v>34</v>
      </c>
      <c r="C27" s="5" t="s">
        <v>35</v>
      </c>
      <c r="D27" s="11">
        <v>1</v>
      </c>
      <c r="E27" s="11">
        <v>89</v>
      </c>
      <c r="F27" s="12">
        <v>287.10000000000002</v>
      </c>
      <c r="G27" s="12">
        <v>49.3</v>
      </c>
      <c r="H27" s="12">
        <v>107</v>
      </c>
      <c r="I27" s="12">
        <v>544.9</v>
      </c>
      <c r="J27" s="13">
        <v>0.61</v>
      </c>
      <c r="K27" s="13">
        <v>0.93</v>
      </c>
      <c r="L27" s="13">
        <v>2.91</v>
      </c>
    </row>
    <row r="28" spans="1:12" x14ac:dyDescent="0.3">
      <c r="A28" s="5" t="s">
        <v>58</v>
      </c>
      <c r="B28" s="5" t="s">
        <v>34</v>
      </c>
      <c r="C28" s="5" t="s">
        <v>35</v>
      </c>
      <c r="D28" s="11">
        <v>3</v>
      </c>
      <c r="E28" s="11">
        <v>88</v>
      </c>
      <c r="F28" s="12">
        <v>301.10000000000002</v>
      </c>
      <c r="G28" s="12">
        <v>53.4</v>
      </c>
      <c r="H28" s="12">
        <v>73.8</v>
      </c>
      <c r="I28" s="12">
        <v>539.5</v>
      </c>
      <c r="J28" s="13">
        <v>0.55000000000000004</v>
      </c>
      <c r="K28" s="13">
        <v>0.77</v>
      </c>
      <c r="L28" s="13">
        <v>2.33</v>
      </c>
    </row>
    <row r="29" spans="1:12" x14ac:dyDescent="0.3">
      <c r="A29" s="5" t="s">
        <v>59</v>
      </c>
      <c r="B29" s="5" t="s">
        <v>34</v>
      </c>
      <c r="C29" s="5" t="s">
        <v>35</v>
      </c>
      <c r="D29" s="11">
        <v>4</v>
      </c>
      <c r="E29" s="11">
        <v>54</v>
      </c>
      <c r="F29" s="12">
        <v>157.6</v>
      </c>
      <c r="G29" s="12">
        <v>27.6</v>
      </c>
      <c r="H29" s="12">
        <v>56</v>
      </c>
      <c r="I29" s="12">
        <v>273.3</v>
      </c>
      <c r="J29" s="13">
        <v>0.52</v>
      </c>
      <c r="K29" s="13">
        <v>0.42</v>
      </c>
      <c r="L29" s="13">
        <v>1.47</v>
      </c>
    </row>
    <row r="30" spans="1:12" x14ac:dyDescent="0.3">
      <c r="A30" s="5" t="s">
        <v>60</v>
      </c>
      <c r="B30" s="5" t="s">
        <v>34</v>
      </c>
      <c r="C30" s="5" t="s">
        <v>35</v>
      </c>
      <c r="D30" s="11">
        <v>2</v>
      </c>
      <c r="E30" s="11">
        <v>55</v>
      </c>
      <c r="F30" s="12">
        <v>246.4</v>
      </c>
      <c r="G30" s="12">
        <v>46.6</v>
      </c>
      <c r="H30" s="12">
        <v>60.8</v>
      </c>
      <c r="I30" s="12">
        <v>425.9</v>
      </c>
      <c r="J30" s="13">
        <v>0.4</v>
      </c>
      <c r="K30" s="13">
        <v>0.53</v>
      </c>
      <c r="L30" s="13">
        <v>1.88</v>
      </c>
    </row>
    <row r="31" spans="1:12" x14ac:dyDescent="0.3">
      <c r="A31" s="5" t="s">
        <v>61</v>
      </c>
      <c r="B31" s="5" t="s">
        <v>34</v>
      </c>
      <c r="C31" s="5" t="s">
        <v>35</v>
      </c>
      <c r="D31" s="11">
        <v>7</v>
      </c>
      <c r="E31" s="11">
        <v>54</v>
      </c>
      <c r="F31" s="12">
        <v>205.8</v>
      </c>
      <c r="G31" s="12">
        <v>33.1</v>
      </c>
      <c r="H31" s="12">
        <v>68.099999999999994</v>
      </c>
      <c r="I31" s="12">
        <v>316.3</v>
      </c>
      <c r="J31" s="13">
        <v>0.49</v>
      </c>
      <c r="K31" s="13">
        <v>0.51</v>
      </c>
      <c r="L31" s="13">
        <v>1.84</v>
      </c>
    </row>
    <row r="32" spans="1:12" x14ac:dyDescent="0.3">
      <c r="A32" s="5" t="s">
        <v>62</v>
      </c>
      <c r="B32" s="5" t="s">
        <v>34</v>
      </c>
      <c r="C32" s="5" t="s">
        <v>35</v>
      </c>
      <c r="D32" s="11">
        <v>3</v>
      </c>
      <c r="E32" s="11">
        <v>71</v>
      </c>
      <c r="F32" s="12">
        <v>230</v>
      </c>
      <c r="G32" s="12">
        <v>40.799999999999997</v>
      </c>
      <c r="H32" s="12">
        <v>58.2</v>
      </c>
      <c r="I32" s="12">
        <v>381</v>
      </c>
      <c r="J32" s="13">
        <v>0.57999999999999996</v>
      </c>
      <c r="K32" s="13">
        <v>0.74</v>
      </c>
      <c r="L32" s="13">
        <v>1.95</v>
      </c>
    </row>
    <row r="33" spans="1:12" x14ac:dyDescent="0.3">
      <c r="A33" s="5" t="s">
        <v>63</v>
      </c>
      <c r="B33" s="5" t="s">
        <v>34</v>
      </c>
      <c r="C33" s="5" t="s">
        <v>35</v>
      </c>
      <c r="D33" s="11">
        <v>4</v>
      </c>
      <c r="E33" s="11">
        <v>58</v>
      </c>
      <c r="F33" s="12">
        <v>244.2</v>
      </c>
      <c r="G33" s="12">
        <v>45.8</v>
      </c>
      <c r="H33" s="12">
        <v>63.9</v>
      </c>
      <c r="I33" s="12">
        <v>366.6</v>
      </c>
      <c r="J33" s="13">
        <v>0.65</v>
      </c>
      <c r="K33" s="13">
        <v>0.68</v>
      </c>
      <c r="L33" s="13">
        <v>2.31</v>
      </c>
    </row>
    <row r="34" spans="1:12" x14ac:dyDescent="0.3">
      <c r="A34" s="5" t="s">
        <v>64</v>
      </c>
      <c r="B34" s="5" t="s">
        <v>34</v>
      </c>
      <c r="C34" s="5" t="s">
        <v>35</v>
      </c>
      <c r="D34" s="11">
        <v>5</v>
      </c>
      <c r="E34" s="11">
        <v>64</v>
      </c>
      <c r="F34" s="12">
        <v>258.5</v>
      </c>
      <c r="G34" s="12">
        <v>44.1</v>
      </c>
      <c r="H34" s="12">
        <v>66.900000000000006</v>
      </c>
      <c r="I34" s="12">
        <v>395.4</v>
      </c>
      <c r="J34" s="13">
        <v>0.65</v>
      </c>
      <c r="K34" s="13">
        <v>0.52</v>
      </c>
      <c r="L34" s="13">
        <v>2.14</v>
      </c>
    </row>
    <row r="35" spans="1:12" x14ac:dyDescent="0.3">
      <c r="A35" s="5" t="s">
        <v>65</v>
      </c>
      <c r="B35" s="5" t="s">
        <v>66</v>
      </c>
      <c r="C35" s="5" t="s">
        <v>35</v>
      </c>
      <c r="D35" s="11">
        <v>2</v>
      </c>
      <c r="E35" s="11">
        <v>55</v>
      </c>
      <c r="F35" s="12">
        <v>184.9</v>
      </c>
      <c r="G35" s="12">
        <v>33.799999999999997</v>
      </c>
      <c r="H35" s="12">
        <v>61</v>
      </c>
      <c r="I35" s="12">
        <v>295.7</v>
      </c>
      <c r="J35" s="13">
        <v>0.38</v>
      </c>
      <c r="K35" s="13">
        <v>0.46</v>
      </c>
      <c r="L35" s="13">
        <v>1.62</v>
      </c>
    </row>
    <row r="36" spans="1:12" x14ac:dyDescent="0.3">
      <c r="A36" s="5" t="s">
        <v>67</v>
      </c>
      <c r="B36" s="5" t="s">
        <v>66</v>
      </c>
      <c r="C36" s="5" t="s">
        <v>35</v>
      </c>
      <c r="D36" s="11">
        <v>10</v>
      </c>
      <c r="E36" s="11">
        <v>92</v>
      </c>
      <c r="F36" s="12">
        <v>293.3</v>
      </c>
      <c r="G36" s="12">
        <v>47.6</v>
      </c>
      <c r="H36" s="12">
        <v>139.69999999999999</v>
      </c>
      <c r="I36" s="12">
        <v>628.79999999999995</v>
      </c>
      <c r="J36" s="13">
        <v>0.99</v>
      </c>
      <c r="K36" s="13">
        <v>0.84</v>
      </c>
      <c r="L36" s="13">
        <v>2.87</v>
      </c>
    </row>
    <row r="37" spans="1:12" x14ac:dyDescent="0.3">
      <c r="A37" s="5" t="s">
        <v>68</v>
      </c>
      <c r="B37" s="5" t="s">
        <v>66</v>
      </c>
      <c r="C37" s="5" t="s">
        <v>35</v>
      </c>
      <c r="D37" s="11">
        <v>1</v>
      </c>
      <c r="E37" s="11">
        <v>49</v>
      </c>
      <c r="F37" s="12">
        <v>188.7</v>
      </c>
      <c r="G37" s="12">
        <v>29.5</v>
      </c>
      <c r="H37" s="12">
        <v>91.6</v>
      </c>
      <c r="I37" s="12">
        <v>279.8</v>
      </c>
      <c r="J37" s="13">
        <v>0.54</v>
      </c>
      <c r="K37" s="13">
        <v>0.41</v>
      </c>
      <c r="L37" s="13">
        <v>1.58</v>
      </c>
    </row>
    <row r="38" spans="1:12" x14ac:dyDescent="0.3">
      <c r="A38" s="5" t="s">
        <v>69</v>
      </c>
      <c r="B38" s="5" t="s">
        <v>66</v>
      </c>
      <c r="C38" s="5" t="s">
        <v>35</v>
      </c>
      <c r="D38" s="11">
        <v>7</v>
      </c>
      <c r="E38" s="11">
        <v>54</v>
      </c>
      <c r="F38" s="12">
        <v>153.6</v>
      </c>
      <c r="G38" s="12">
        <v>24.8</v>
      </c>
      <c r="H38" s="12">
        <v>71.2</v>
      </c>
      <c r="I38" s="12">
        <v>235.4</v>
      </c>
      <c r="J38" s="13">
        <v>0.53</v>
      </c>
      <c r="K38" s="13">
        <v>0.45</v>
      </c>
      <c r="L38" s="13">
        <v>1.39</v>
      </c>
    </row>
    <row r="39" spans="1:12" x14ac:dyDescent="0.3">
      <c r="A39" s="5" t="s">
        <v>70</v>
      </c>
      <c r="B39" s="5" t="s">
        <v>66</v>
      </c>
      <c r="C39" s="5" t="s">
        <v>35</v>
      </c>
      <c r="D39" s="11">
        <v>3</v>
      </c>
      <c r="E39" s="11">
        <v>53</v>
      </c>
      <c r="F39" s="12">
        <v>184</v>
      </c>
      <c r="G39" s="12">
        <v>33.200000000000003</v>
      </c>
      <c r="H39" s="12">
        <v>79.5</v>
      </c>
      <c r="I39" s="12">
        <v>270.89999999999998</v>
      </c>
      <c r="J39" s="13">
        <v>0.57999999999999996</v>
      </c>
      <c r="K39" s="13">
        <v>0.52</v>
      </c>
      <c r="L39" s="13">
        <v>1.43</v>
      </c>
    </row>
    <row r="40" spans="1:12" x14ac:dyDescent="0.3">
      <c r="A40" s="5" t="s">
        <v>71</v>
      </c>
      <c r="B40" s="5" t="s">
        <v>66</v>
      </c>
      <c r="C40" s="5" t="s">
        <v>35</v>
      </c>
      <c r="D40" s="11">
        <v>4</v>
      </c>
      <c r="E40" s="11">
        <v>116</v>
      </c>
      <c r="F40" s="12">
        <v>329.6</v>
      </c>
      <c r="G40" s="12">
        <v>52.1</v>
      </c>
      <c r="H40" s="12">
        <v>128.6</v>
      </c>
      <c r="I40" s="12">
        <v>630.29999999999995</v>
      </c>
      <c r="J40" s="13">
        <v>1.1499999999999999</v>
      </c>
      <c r="K40" s="13">
        <v>0.97</v>
      </c>
      <c r="L40" s="13">
        <v>3.03</v>
      </c>
    </row>
    <row r="41" spans="1:12" x14ac:dyDescent="0.3">
      <c r="A41" s="5" t="s">
        <v>72</v>
      </c>
      <c r="B41" s="5" t="s">
        <v>66</v>
      </c>
      <c r="C41" s="5" t="s">
        <v>35</v>
      </c>
      <c r="D41" s="11">
        <v>5</v>
      </c>
      <c r="E41" s="11">
        <v>52</v>
      </c>
      <c r="F41" s="12">
        <v>211.2</v>
      </c>
      <c r="G41" s="12">
        <v>38.4</v>
      </c>
      <c r="H41" s="12">
        <v>86.5</v>
      </c>
      <c r="I41" s="12">
        <v>349.9</v>
      </c>
      <c r="J41" s="13">
        <v>0.56999999999999995</v>
      </c>
      <c r="K41" s="13">
        <v>0.56000000000000005</v>
      </c>
      <c r="L41" s="13">
        <v>1.84</v>
      </c>
    </row>
    <row r="42" spans="1:12" x14ac:dyDescent="0.3">
      <c r="A42" s="5" t="s">
        <v>73</v>
      </c>
      <c r="B42" s="5" t="s">
        <v>66</v>
      </c>
      <c r="C42" s="5" t="s">
        <v>35</v>
      </c>
      <c r="D42" s="11">
        <v>4</v>
      </c>
      <c r="E42" s="11">
        <v>53</v>
      </c>
      <c r="F42" s="12">
        <v>159.80000000000001</v>
      </c>
      <c r="G42" s="12">
        <v>27.2</v>
      </c>
      <c r="H42" s="12">
        <v>50.4</v>
      </c>
      <c r="I42" s="12">
        <v>324.39999999999998</v>
      </c>
      <c r="J42" s="13">
        <v>0.48</v>
      </c>
      <c r="K42" s="13">
        <v>0.52</v>
      </c>
      <c r="L42" s="13">
        <v>1.7</v>
      </c>
    </row>
    <row r="43" spans="1:12" x14ac:dyDescent="0.3">
      <c r="A43" s="5" t="s">
        <v>74</v>
      </c>
      <c r="B43" s="5" t="s">
        <v>66</v>
      </c>
      <c r="C43" s="5" t="s">
        <v>35</v>
      </c>
      <c r="D43" s="11">
        <v>1</v>
      </c>
      <c r="E43" s="11">
        <v>77</v>
      </c>
      <c r="F43" s="12">
        <v>214.9</v>
      </c>
      <c r="G43" s="12">
        <v>39.200000000000003</v>
      </c>
      <c r="H43" s="12">
        <v>86.7</v>
      </c>
      <c r="I43" s="12">
        <v>391.4</v>
      </c>
      <c r="J43" s="13">
        <v>0.48</v>
      </c>
      <c r="K43" s="13">
        <v>0.6</v>
      </c>
      <c r="L43" s="13">
        <v>1.83</v>
      </c>
    </row>
    <row r="44" spans="1:12" x14ac:dyDescent="0.3">
      <c r="A44" s="5" t="s">
        <v>75</v>
      </c>
      <c r="B44" s="5" t="s">
        <v>66</v>
      </c>
      <c r="C44" s="5" t="s">
        <v>35</v>
      </c>
      <c r="D44" s="11">
        <v>4</v>
      </c>
      <c r="E44" s="11">
        <v>99</v>
      </c>
      <c r="F44" s="12">
        <v>302.10000000000002</v>
      </c>
      <c r="G44" s="12">
        <v>51.8</v>
      </c>
      <c r="H44" s="12">
        <v>135.5</v>
      </c>
      <c r="I44" s="12">
        <v>489.1</v>
      </c>
      <c r="J44" s="13">
        <v>1.08</v>
      </c>
      <c r="K44" s="13">
        <v>0.78</v>
      </c>
      <c r="L44" s="13">
        <v>2.81</v>
      </c>
    </row>
    <row r="45" spans="1:12" x14ac:dyDescent="0.3">
      <c r="A45" s="5" t="s">
        <v>76</v>
      </c>
      <c r="B45" s="5" t="s">
        <v>66</v>
      </c>
      <c r="C45" s="5" t="s">
        <v>35</v>
      </c>
      <c r="D45" s="11">
        <v>5</v>
      </c>
      <c r="E45" s="11">
        <v>51</v>
      </c>
      <c r="F45" s="12">
        <v>196.9</v>
      </c>
      <c r="G45" s="12">
        <v>26.9</v>
      </c>
      <c r="H45" s="12">
        <v>75.099999999999994</v>
      </c>
      <c r="I45" s="12">
        <v>306.7</v>
      </c>
      <c r="J45" s="13">
        <v>0.47</v>
      </c>
      <c r="K45" s="13">
        <v>0.55000000000000004</v>
      </c>
      <c r="L45" s="13">
        <v>1.92</v>
      </c>
    </row>
    <row r="46" spans="1:12" x14ac:dyDescent="0.3">
      <c r="A46" s="5" t="s">
        <v>77</v>
      </c>
      <c r="B46" s="5" t="s">
        <v>66</v>
      </c>
      <c r="C46" s="5" t="s">
        <v>35</v>
      </c>
      <c r="D46" s="11">
        <v>7</v>
      </c>
      <c r="E46" s="11">
        <v>104</v>
      </c>
      <c r="F46" s="12">
        <v>378.6</v>
      </c>
      <c r="G46" s="12">
        <v>54.8</v>
      </c>
      <c r="H46" s="12">
        <v>148.6</v>
      </c>
      <c r="I46" s="12">
        <v>570.29999999999995</v>
      </c>
      <c r="J46" s="13">
        <v>1.26</v>
      </c>
      <c r="K46" s="13">
        <v>1.01</v>
      </c>
      <c r="L46" s="13">
        <v>3.93</v>
      </c>
    </row>
    <row r="47" spans="1:12" x14ac:dyDescent="0.3">
      <c r="A47" s="5" t="s">
        <v>78</v>
      </c>
      <c r="B47" s="5" t="s">
        <v>66</v>
      </c>
      <c r="C47" s="5" t="s">
        <v>35</v>
      </c>
      <c r="D47" s="11">
        <v>1</v>
      </c>
      <c r="E47" s="11">
        <v>101</v>
      </c>
      <c r="F47" s="12">
        <v>260.7</v>
      </c>
      <c r="G47" s="12">
        <v>39.299999999999997</v>
      </c>
      <c r="H47" s="12">
        <v>117.8</v>
      </c>
      <c r="I47" s="12">
        <v>520</v>
      </c>
      <c r="J47" s="13">
        <v>0.69</v>
      </c>
      <c r="K47" s="13">
        <v>0.67</v>
      </c>
      <c r="L47" s="13">
        <v>2.66</v>
      </c>
    </row>
    <row r="48" spans="1:12" x14ac:dyDescent="0.3">
      <c r="A48" s="5" t="s">
        <v>79</v>
      </c>
      <c r="B48" s="5" t="s">
        <v>66</v>
      </c>
      <c r="C48" s="5" t="s">
        <v>35</v>
      </c>
      <c r="D48" s="11">
        <v>2</v>
      </c>
      <c r="E48" s="11">
        <v>52</v>
      </c>
      <c r="F48" s="12">
        <v>183.4</v>
      </c>
      <c r="G48" s="12">
        <v>30.7</v>
      </c>
      <c r="H48" s="12">
        <v>62.1</v>
      </c>
      <c r="I48" s="12">
        <v>335</v>
      </c>
      <c r="J48" s="13">
        <v>0.37</v>
      </c>
      <c r="K48" s="13">
        <v>0.48</v>
      </c>
      <c r="L48" s="13">
        <v>1.82</v>
      </c>
    </row>
    <row r="49" spans="1:12" x14ac:dyDescent="0.3">
      <c r="A49" s="5" t="s">
        <v>80</v>
      </c>
      <c r="B49" s="5" t="s">
        <v>66</v>
      </c>
      <c r="C49" s="5" t="s">
        <v>35</v>
      </c>
      <c r="D49" s="11">
        <v>6</v>
      </c>
      <c r="E49" s="11">
        <v>106</v>
      </c>
      <c r="F49" s="12">
        <v>294.8</v>
      </c>
      <c r="G49" s="12">
        <v>41.1</v>
      </c>
      <c r="H49" s="12">
        <v>153.1</v>
      </c>
      <c r="I49" s="12">
        <v>568.5</v>
      </c>
      <c r="J49" s="13">
        <v>0.98</v>
      </c>
      <c r="K49" s="13">
        <v>0.75</v>
      </c>
      <c r="L49" s="13">
        <v>3.04</v>
      </c>
    </row>
    <row r="50" spans="1:12" x14ac:dyDescent="0.3">
      <c r="A50" s="5" t="s">
        <v>81</v>
      </c>
      <c r="B50" s="5" t="s">
        <v>66</v>
      </c>
      <c r="C50" s="5" t="s">
        <v>35</v>
      </c>
      <c r="D50" s="11">
        <v>5</v>
      </c>
      <c r="E50" s="11">
        <v>58</v>
      </c>
      <c r="F50" s="12">
        <v>181.5</v>
      </c>
      <c r="G50" s="12">
        <v>32.6</v>
      </c>
      <c r="H50" s="12">
        <v>83.6</v>
      </c>
      <c r="I50" s="12">
        <v>356.3</v>
      </c>
      <c r="J50" s="13">
        <v>0.49</v>
      </c>
      <c r="K50" s="13">
        <v>0.44</v>
      </c>
      <c r="L50" s="13">
        <v>1.96</v>
      </c>
    </row>
    <row r="51" spans="1:12" x14ac:dyDescent="0.3">
      <c r="A51" s="5" t="s">
        <v>82</v>
      </c>
      <c r="B51" s="5" t="s">
        <v>66</v>
      </c>
      <c r="C51" s="5" t="s">
        <v>35</v>
      </c>
      <c r="D51" s="11">
        <v>4</v>
      </c>
      <c r="E51" s="11">
        <v>67</v>
      </c>
      <c r="F51" s="12">
        <v>193.9</v>
      </c>
      <c r="G51" s="12">
        <v>34.1</v>
      </c>
      <c r="H51" s="12">
        <v>82.5</v>
      </c>
      <c r="I51" s="12">
        <v>312.39999999999998</v>
      </c>
      <c r="J51" s="13">
        <v>0.53</v>
      </c>
      <c r="K51" s="13">
        <v>0.55000000000000004</v>
      </c>
      <c r="L51" s="13">
        <v>2.04</v>
      </c>
    </row>
    <row r="52" spans="1:12" x14ac:dyDescent="0.3">
      <c r="A52" s="5" t="s">
        <v>83</v>
      </c>
      <c r="B52" s="5" t="s">
        <v>66</v>
      </c>
      <c r="C52" s="5" t="s">
        <v>35</v>
      </c>
      <c r="D52" s="11">
        <v>4</v>
      </c>
      <c r="E52" s="11">
        <v>84</v>
      </c>
      <c r="F52" s="12">
        <v>237.8</v>
      </c>
      <c r="G52" s="12">
        <v>42</v>
      </c>
      <c r="H52" s="12">
        <v>93.6</v>
      </c>
      <c r="I52" s="12">
        <v>378.1</v>
      </c>
      <c r="J52" s="13">
        <v>0.73</v>
      </c>
      <c r="K52" s="13">
        <v>0.6</v>
      </c>
      <c r="L52" s="13">
        <v>2.69</v>
      </c>
    </row>
    <row r="53" spans="1:12" x14ac:dyDescent="0.3">
      <c r="A53" s="5" t="s">
        <v>84</v>
      </c>
      <c r="B53" s="5" t="s">
        <v>66</v>
      </c>
      <c r="C53" s="5" t="s">
        <v>35</v>
      </c>
      <c r="D53" s="11">
        <v>2</v>
      </c>
      <c r="E53" s="11">
        <v>80</v>
      </c>
      <c r="F53" s="12">
        <v>287.39999999999998</v>
      </c>
      <c r="G53" s="12">
        <v>47.9</v>
      </c>
      <c r="H53" s="12">
        <v>101.8</v>
      </c>
      <c r="I53" s="12">
        <v>480.3</v>
      </c>
      <c r="J53" s="13">
        <v>0.68</v>
      </c>
      <c r="K53" s="13">
        <v>0.72</v>
      </c>
      <c r="L53" s="13">
        <v>2.31</v>
      </c>
    </row>
    <row r="54" spans="1:12" x14ac:dyDescent="0.3">
      <c r="A54" s="5" t="s">
        <v>85</v>
      </c>
      <c r="B54" s="5" t="s">
        <v>66</v>
      </c>
      <c r="C54" s="5" t="s">
        <v>35</v>
      </c>
      <c r="D54" s="11">
        <v>6</v>
      </c>
      <c r="E54" s="11">
        <v>112</v>
      </c>
      <c r="F54" s="12">
        <v>362.5</v>
      </c>
      <c r="G54" s="12">
        <v>65.900000000000006</v>
      </c>
      <c r="H54" s="12">
        <v>139.19999999999999</v>
      </c>
      <c r="I54" s="12">
        <v>560.29999999999995</v>
      </c>
      <c r="J54" s="13">
        <v>0.74</v>
      </c>
      <c r="K54" s="13">
        <v>0.82</v>
      </c>
      <c r="L54" s="13">
        <v>2.92</v>
      </c>
    </row>
    <row r="55" spans="1:12" x14ac:dyDescent="0.3">
      <c r="A55" s="5" t="s">
        <v>86</v>
      </c>
      <c r="B55" s="5" t="s">
        <v>66</v>
      </c>
      <c r="C55" s="5" t="s">
        <v>35</v>
      </c>
      <c r="D55" s="11">
        <v>2</v>
      </c>
      <c r="E55" s="11">
        <v>95</v>
      </c>
      <c r="F55" s="12">
        <v>370.3</v>
      </c>
      <c r="G55" s="12">
        <v>54.9</v>
      </c>
      <c r="H55" s="12">
        <v>126.3</v>
      </c>
      <c r="I55" s="12">
        <v>639.20000000000005</v>
      </c>
      <c r="J55" s="13">
        <v>0.94</v>
      </c>
      <c r="K55" s="13">
        <v>1.08</v>
      </c>
      <c r="L55" s="13">
        <v>3.38</v>
      </c>
    </row>
    <row r="56" spans="1:12" x14ac:dyDescent="0.3">
      <c r="A56" s="5" t="s">
        <v>87</v>
      </c>
      <c r="B56" s="5" t="s">
        <v>66</v>
      </c>
      <c r="C56" s="5" t="s">
        <v>35</v>
      </c>
      <c r="D56" s="11">
        <v>4</v>
      </c>
      <c r="E56" s="11">
        <v>93</v>
      </c>
      <c r="F56" s="12">
        <v>383.7</v>
      </c>
      <c r="G56" s="12">
        <v>64</v>
      </c>
      <c r="H56" s="12">
        <v>150.5</v>
      </c>
      <c r="I56" s="12">
        <v>679.1</v>
      </c>
      <c r="J56" s="13">
        <v>0.87</v>
      </c>
      <c r="K56" s="13">
        <v>1.05</v>
      </c>
      <c r="L56" s="13">
        <v>3.63</v>
      </c>
    </row>
    <row r="57" spans="1:12" x14ac:dyDescent="0.3">
      <c r="A57" s="5" t="s">
        <v>88</v>
      </c>
      <c r="B57" s="5" t="s">
        <v>89</v>
      </c>
      <c r="C57" s="5" t="s">
        <v>35</v>
      </c>
      <c r="D57" s="11">
        <v>8</v>
      </c>
      <c r="E57" s="11">
        <v>86</v>
      </c>
      <c r="F57" s="12">
        <v>311.60000000000002</v>
      </c>
      <c r="G57" s="12">
        <v>61.1</v>
      </c>
      <c r="H57" s="12">
        <v>83.5</v>
      </c>
      <c r="I57" s="12">
        <v>512.29999999999995</v>
      </c>
      <c r="J57" s="13">
        <v>0.43</v>
      </c>
      <c r="K57" s="13">
        <v>0.88</v>
      </c>
      <c r="L57" s="13">
        <v>2.3199999999999998</v>
      </c>
    </row>
    <row r="58" spans="1:12" x14ac:dyDescent="0.3">
      <c r="A58" s="5" t="s">
        <v>90</v>
      </c>
      <c r="B58" s="5" t="s">
        <v>89</v>
      </c>
      <c r="C58" s="5" t="s">
        <v>35</v>
      </c>
      <c r="D58" s="11">
        <v>8</v>
      </c>
      <c r="E58" s="11">
        <v>83</v>
      </c>
      <c r="F58" s="12">
        <v>362.1</v>
      </c>
      <c r="G58" s="12">
        <v>58.8</v>
      </c>
      <c r="H58" s="12">
        <v>74.099999999999994</v>
      </c>
      <c r="I58" s="12">
        <v>577.9</v>
      </c>
      <c r="J58" s="13">
        <v>0.56999999999999995</v>
      </c>
      <c r="K58" s="13">
        <v>0.77</v>
      </c>
      <c r="L58" s="13">
        <v>2.08</v>
      </c>
    </row>
    <row r="59" spans="1:12" x14ac:dyDescent="0.3">
      <c r="A59" s="5" t="s">
        <v>91</v>
      </c>
      <c r="B59" s="5" t="s">
        <v>89</v>
      </c>
      <c r="C59" s="5" t="s">
        <v>35</v>
      </c>
      <c r="D59" s="11">
        <v>1</v>
      </c>
      <c r="E59" s="11">
        <v>102</v>
      </c>
      <c r="F59" s="12">
        <v>518.6</v>
      </c>
      <c r="G59" s="12">
        <v>110.3</v>
      </c>
      <c r="H59" s="12">
        <v>143.4</v>
      </c>
      <c r="I59" s="12">
        <v>916.2</v>
      </c>
      <c r="J59" s="13">
        <v>0.84</v>
      </c>
      <c r="K59" s="13">
        <v>1.21</v>
      </c>
      <c r="L59" s="13">
        <v>3.29</v>
      </c>
    </row>
    <row r="60" spans="1:12" x14ac:dyDescent="0.3">
      <c r="A60" s="5" t="s">
        <v>92</v>
      </c>
      <c r="B60" s="5" t="s">
        <v>89</v>
      </c>
      <c r="C60" s="5" t="s">
        <v>35</v>
      </c>
      <c r="D60" s="11">
        <v>3</v>
      </c>
      <c r="E60" s="11">
        <v>89</v>
      </c>
      <c r="F60" s="12">
        <v>364.3</v>
      </c>
      <c r="G60" s="12">
        <v>62.5</v>
      </c>
      <c r="H60" s="12">
        <v>95.5</v>
      </c>
      <c r="I60" s="12">
        <v>575.70000000000005</v>
      </c>
      <c r="J60" s="13">
        <v>0.6</v>
      </c>
      <c r="K60" s="13">
        <v>0.97</v>
      </c>
      <c r="L60" s="13">
        <v>3.01</v>
      </c>
    </row>
    <row r="61" spans="1:12" x14ac:dyDescent="0.3">
      <c r="A61" s="5" t="s">
        <v>93</v>
      </c>
      <c r="B61" s="5" t="s">
        <v>89</v>
      </c>
      <c r="C61" s="5" t="s">
        <v>35</v>
      </c>
      <c r="D61" s="11">
        <v>4</v>
      </c>
      <c r="E61" s="11">
        <v>74</v>
      </c>
      <c r="F61" s="12">
        <v>377</v>
      </c>
      <c r="G61" s="12">
        <v>67.8</v>
      </c>
      <c r="H61" s="12">
        <v>65</v>
      </c>
      <c r="I61" s="12">
        <v>498.5</v>
      </c>
      <c r="J61" s="13">
        <v>0.51</v>
      </c>
      <c r="K61" s="13">
        <v>0.75</v>
      </c>
      <c r="L61" s="13">
        <v>2.59</v>
      </c>
    </row>
    <row r="62" spans="1:12" x14ac:dyDescent="0.3">
      <c r="A62" s="5" t="s">
        <v>94</v>
      </c>
      <c r="B62" s="5" t="s">
        <v>89</v>
      </c>
      <c r="C62" s="5" t="s">
        <v>35</v>
      </c>
      <c r="D62" s="11">
        <v>10</v>
      </c>
      <c r="E62" s="11">
        <v>94</v>
      </c>
      <c r="F62" s="12">
        <v>443.8</v>
      </c>
      <c r="G62" s="12">
        <v>94.2</v>
      </c>
      <c r="H62" s="12">
        <v>98.1</v>
      </c>
      <c r="I62" s="12">
        <v>746</v>
      </c>
      <c r="J62" s="13">
        <v>0.82</v>
      </c>
      <c r="K62" s="13">
        <v>1.1100000000000001</v>
      </c>
      <c r="L62" s="13">
        <v>2.84</v>
      </c>
    </row>
    <row r="63" spans="1:12" x14ac:dyDescent="0.3">
      <c r="A63" s="5" t="s">
        <v>95</v>
      </c>
      <c r="B63" s="5" t="s">
        <v>89</v>
      </c>
      <c r="C63" s="5" t="s">
        <v>35</v>
      </c>
      <c r="D63" s="11">
        <v>4</v>
      </c>
      <c r="E63" s="11">
        <v>84</v>
      </c>
      <c r="F63" s="12">
        <v>459.3</v>
      </c>
      <c r="G63" s="12">
        <v>94.5</v>
      </c>
      <c r="H63" s="12">
        <v>73.7</v>
      </c>
      <c r="I63" s="12">
        <v>625.20000000000005</v>
      </c>
      <c r="J63" s="13">
        <v>0.81</v>
      </c>
      <c r="K63" s="13">
        <v>1.22</v>
      </c>
      <c r="L63" s="13">
        <v>2.86</v>
      </c>
    </row>
    <row r="64" spans="1:12" x14ac:dyDescent="0.3">
      <c r="A64" s="5" t="s">
        <v>96</v>
      </c>
      <c r="B64" s="5" t="s">
        <v>89</v>
      </c>
      <c r="C64" s="5" t="s">
        <v>35</v>
      </c>
      <c r="D64" s="11">
        <v>2</v>
      </c>
      <c r="E64" s="11">
        <v>83</v>
      </c>
      <c r="F64" s="12">
        <v>362.3</v>
      </c>
      <c r="G64" s="12">
        <v>57.7</v>
      </c>
      <c r="H64" s="12">
        <v>61.2</v>
      </c>
      <c r="I64" s="12">
        <v>521.79999999999995</v>
      </c>
      <c r="J64" s="13">
        <v>0.61</v>
      </c>
      <c r="K64" s="13">
        <v>0.72</v>
      </c>
      <c r="L64" s="13">
        <v>2.06</v>
      </c>
    </row>
    <row r="65" spans="1:12" x14ac:dyDescent="0.3">
      <c r="A65" s="5" t="s">
        <v>97</v>
      </c>
      <c r="B65" s="5" t="s">
        <v>89</v>
      </c>
      <c r="C65" s="5" t="s">
        <v>35</v>
      </c>
      <c r="D65" s="11">
        <v>6</v>
      </c>
      <c r="E65" s="11">
        <v>95</v>
      </c>
      <c r="F65" s="12">
        <v>485.8</v>
      </c>
      <c r="G65" s="12">
        <v>99.7</v>
      </c>
      <c r="H65" s="12">
        <v>96.9</v>
      </c>
      <c r="I65" s="12">
        <v>811.4</v>
      </c>
      <c r="J65" s="13">
        <v>0.75</v>
      </c>
      <c r="K65" s="13">
        <v>1.34</v>
      </c>
      <c r="L65" s="13">
        <v>2.97</v>
      </c>
    </row>
    <row r="66" spans="1:12" x14ac:dyDescent="0.3">
      <c r="A66" s="5" t="s">
        <v>98</v>
      </c>
      <c r="B66" s="5" t="s">
        <v>89</v>
      </c>
      <c r="C66" s="5" t="s">
        <v>35</v>
      </c>
      <c r="D66" s="11">
        <v>2</v>
      </c>
      <c r="E66" s="11">
        <v>95</v>
      </c>
      <c r="F66" s="12">
        <v>341.8</v>
      </c>
      <c r="G66" s="12">
        <v>69.400000000000006</v>
      </c>
      <c r="H66" s="12">
        <v>96.2</v>
      </c>
      <c r="I66" s="12">
        <v>561.79999999999995</v>
      </c>
      <c r="J66" s="13">
        <v>0.67</v>
      </c>
      <c r="K66" s="13">
        <v>0.83</v>
      </c>
      <c r="L66" s="13">
        <v>2.97</v>
      </c>
    </row>
    <row r="67" spans="1:12" x14ac:dyDescent="0.3">
      <c r="A67" s="5" t="s">
        <v>99</v>
      </c>
      <c r="B67" s="5" t="s">
        <v>89</v>
      </c>
      <c r="C67" s="5" t="s">
        <v>35</v>
      </c>
      <c r="D67" s="11">
        <v>2</v>
      </c>
      <c r="E67" s="11">
        <v>100</v>
      </c>
      <c r="F67" s="12">
        <v>552.6</v>
      </c>
      <c r="G67" s="12">
        <v>108.4</v>
      </c>
      <c r="H67" s="12">
        <v>86.2</v>
      </c>
      <c r="I67" s="12">
        <v>735.5</v>
      </c>
      <c r="J67" s="13">
        <v>0.86</v>
      </c>
      <c r="K67" s="13">
        <v>1.42</v>
      </c>
      <c r="L67" s="13">
        <v>3.63</v>
      </c>
    </row>
    <row r="68" spans="1:12" x14ac:dyDescent="0.3">
      <c r="A68" s="5" t="s">
        <v>100</v>
      </c>
      <c r="B68" s="5" t="s">
        <v>89</v>
      </c>
      <c r="C68" s="5" t="s">
        <v>35</v>
      </c>
      <c r="D68" s="11">
        <v>8</v>
      </c>
      <c r="E68" s="11">
        <v>75</v>
      </c>
      <c r="F68" s="12">
        <v>330.6</v>
      </c>
      <c r="G68" s="12">
        <v>52.6</v>
      </c>
      <c r="H68" s="12">
        <v>62.1</v>
      </c>
      <c r="I68" s="12">
        <v>526.6</v>
      </c>
      <c r="J68" s="13">
        <v>0.53</v>
      </c>
      <c r="K68" s="13">
        <v>0.86</v>
      </c>
      <c r="L68" s="13">
        <v>2.4900000000000002</v>
      </c>
    </row>
    <row r="69" spans="1:12" x14ac:dyDescent="0.3">
      <c r="A69" s="5" t="s">
        <v>101</v>
      </c>
      <c r="B69" s="5" t="s">
        <v>89</v>
      </c>
      <c r="C69" s="5" t="s">
        <v>35</v>
      </c>
      <c r="D69" s="11">
        <v>4</v>
      </c>
      <c r="E69" s="11">
        <v>51</v>
      </c>
      <c r="F69" s="12">
        <v>248.6</v>
      </c>
      <c r="G69" s="12">
        <v>45.7</v>
      </c>
      <c r="H69" s="12">
        <v>41.7</v>
      </c>
      <c r="I69" s="12">
        <v>399</v>
      </c>
      <c r="J69" s="13">
        <v>0.48</v>
      </c>
      <c r="K69" s="13">
        <v>0.71</v>
      </c>
      <c r="L69" s="13">
        <v>1.93</v>
      </c>
    </row>
    <row r="70" spans="1:12" x14ac:dyDescent="0.3">
      <c r="A70" s="5" t="s">
        <v>102</v>
      </c>
      <c r="B70" s="5" t="s">
        <v>89</v>
      </c>
      <c r="C70" s="5" t="s">
        <v>35</v>
      </c>
      <c r="D70" s="11">
        <v>1</v>
      </c>
      <c r="E70" s="11">
        <v>63</v>
      </c>
      <c r="F70" s="12">
        <v>272.60000000000002</v>
      </c>
      <c r="G70" s="12">
        <v>55.3</v>
      </c>
      <c r="H70" s="12">
        <v>65.5</v>
      </c>
      <c r="I70" s="12">
        <v>495.6</v>
      </c>
      <c r="J70" s="13">
        <v>0.56999999999999995</v>
      </c>
      <c r="K70" s="13">
        <v>0.69</v>
      </c>
      <c r="L70" s="13">
        <v>1.96</v>
      </c>
    </row>
    <row r="71" spans="1:12" x14ac:dyDescent="0.3">
      <c r="A71" s="5" t="s">
        <v>103</v>
      </c>
      <c r="B71" s="5" t="s">
        <v>89</v>
      </c>
      <c r="C71" s="5" t="s">
        <v>35</v>
      </c>
      <c r="D71" s="11">
        <v>3</v>
      </c>
      <c r="E71" s="11">
        <v>110</v>
      </c>
      <c r="F71" s="12">
        <v>498.6</v>
      </c>
      <c r="G71" s="12">
        <v>102.7</v>
      </c>
      <c r="H71" s="12">
        <v>127.8</v>
      </c>
      <c r="I71" s="12">
        <v>820.3</v>
      </c>
      <c r="J71" s="13">
        <v>0.72</v>
      </c>
      <c r="K71" s="13">
        <v>1.1599999999999999</v>
      </c>
      <c r="L71" s="13">
        <v>3.3</v>
      </c>
    </row>
    <row r="72" spans="1:12" x14ac:dyDescent="0.3">
      <c r="A72" s="5" t="s">
        <v>104</v>
      </c>
      <c r="B72" s="5" t="s">
        <v>89</v>
      </c>
      <c r="C72" s="5" t="s">
        <v>35</v>
      </c>
      <c r="D72" s="11">
        <v>7</v>
      </c>
      <c r="E72" s="11">
        <v>101</v>
      </c>
      <c r="F72" s="12">
        <v>372.1</v>
      </c>
      <c r="G72" s="12">
        <v>77.2</v>
      </c>
      <c r="H72" s="12">
        <v>110.9</v>
      </c>
      <c r="I72" s="12">
        <v>631.6</v>
      </c>
      <c r="J72" s="13">
        <v>0.5</v>
      </c>
      <c r="K72" s="13">
        <v>1.23</v>
      </c>
      <c r="L72" s="13">
        <v>3.12</v>
      </c>
    </row>
    <row r="73" spans="1:12" x14ac:dyDescent="0.3">
      <c r="A73" s="5" t="s">
        <v>105</v>
      </c>
      <c r="B73" s="5" t="s">
        <v>89</v>
      </c>
      <c r="C73" s="5" t="s">
        <v>35</v>
      </c>
      <c r="D73" s="11">
        <v>2</v>
      </c>
      <c r="E73" s="11">
        <v>52</v>
      </c>
      <c r="F73" s="12">
        <v>243.9</v>
      </c>
      <c r="G73" s="12">
        <v>50.6</v>
      </c>
      <c r="H73" s="12">
        <v>72.900000000000006</v>
      </c>
      <c r="I73" s="12">
        <v>409.9</v>
      </c>
      <c r="J73" s="13">
        <v>0.41</v>
      </c>
      <c r="K73" s="13">
        <v>0.56999999999999995</v>
      </c>
      <c r="L73" s="13">
        <v>1.98</v>
      </c>
    </row>
    <row r="74" spans="1:12" x14ac:dyDescent="0.3">
      <c r="A74" s="5" t="s">
        <v>106</v>
      </c>
      <c r="B74" s="5" t="s">
        <v>89</v>
      </c>
      <c r="C74" s="5" t="s">
        <v>35</v>
      </c>
      <c r="D74" s="11">
        <v>3</v>
      </c>
      <c r="E74" s="11">
        <v>85</v>
      </c>
      <c r="F74" s="12">
        <v>376.7</v>
      </c>
      <c r="G74" s="12">
        <v>59.6</v>
      </c>
      <c r="H74" s="12">
        <v>91</v>
      </c>
      <c r="I74" s="12">
        <v>737.6</v>
      </c>
      <c r="J74" s="13">
        <v>0.75</v>
      </c>
      <c r="K74" s="13">
        <v>1.04</v>
      </c>
      <c r="L74" s="13">
        <v>2.4900000000000002</v>
      </c>
    </row>
    <row r="75" spans="1:12" x14ac:dyDescent="0.3">
      <c r="A75" s="5" t="s">
        <v>107</v>
      </c>
      <c r="B75" s="5" t="s">
        <v>89</v>
      </c>
      <c r="C75" s="5" t="s">
        <v>35</v>
      </c>
      <c r="D75" s="11">
        <v>7</v>
      </c>
      <c r="E75" s="11">
        <v>93</v>
      </c>
      <c r="F75" s="12">
        <v>422</v>
      </c>
      <c r="G75" s="12">
        <v>75.400000000000006</v>
      </c>
      <c r="H75" s="12">
        <v>108.9</v>
      </c>
      <c r="I75" s="12">
        <v>641.20000000000005</v>
      </c>
      <c r="J75" s="13">
        <v>0.78</v>
      </c>
      <c r="K75" s="13">
        <v>1.2</v>
      </c>
      <c r="L75" s="13">
        <v>3.37</v>
      </c>
    </row>
    <row r="76" spans="1:12" x14ac:dyDescent="0.3">
      <c r="A76" s="5" t="s">
        <v>108</v>
      </c>
      <c r="B76" s="5" t="s">
        <v>89</v>
      </c>
      <c r="C76" s="5" t="s">
        <v>35</v>
      </c>
      <c r="D76" s="11">
        <v>2</v>
      </c>
      <c r="E76" s="11">
        <v>113</v>
      </c>
      <c r="F76" s="12">
        <v>470.3</v>
      </c>
      <c r="G76" s="12">
        <v>95.7</v>
      </c>
      <c r="H76" s="12">
        <v>114.5</v>
      </c>
      <c r="I76" s="12">
        <v>837.7</v>
      </c>
      <c r="J76" s="13">
        <v>0.59</v>
      </c>
      <c r="K76" s="13">
        <v>1.19</v>
      </c>
      <c r="L76" s="13">
        <v>3.02</v>
      </c>
    </row>
    <row r="77" spans="1:12" x14ac:dyDescent="0.3">
      <c r="A77" s="5" t="s">
        <v>109</v>
      </c>
      <c r="B77" s="5" t="s">
        <v>110</v>
      </c>
      <c r="C77" s="5" t="s">
        <v>35</v>
      </c>
      <c r="D77" s="11">
        <v>2</v>
      </c>
      <c r="E77" s="11">
        <v>88</v>
      </c>
      <c r="F77" s="12">
        <v>219.2</v>
      </c>
      <c r="G77" s="12">
        <v>29.4</v>
      </c>
      <c r="H77" s="12">
        <v>136.5</v>
      </c>
      <c r="I77" s="12">
        <v>408</v>
      </c>
      <c r="J77" s="13">
        <v>1.1299999999999999</v>
      </c>
      <c r="K77" s="13">
        <v>0.62</v>
      </c>
      <c r="L77" s="13">
        <v>2.73</v>
      </c>
    </row>
    <row r="78" spans="1:12" x14ac:dyDescent="0.3">
      <c r="A78" s="5" t="s">
        <v>111</v>
      </c>
      <c r="B78" s="5" t="s">
        <v>110</v>
      </c>
      <c r="C78" s="5" t="s">
        <v>35</v>
      </c>
      <c r="D78" s="11">
        <v>4</v>
      </c>
      <c r="E78" s="11">
        <v>51</v>
      </c>
      <c r="F78" s="12">
        <v>127.8</v>
      </c>
      <c r="G78" s="12">
        <v>17</v>
      </c>
      <c r="H78" s="12">
        <v>77</v>
      </c>
      <c r="I78" s="12">
        <v>226.2</v>
      </c>
      <c r="J78" s="13">
        <v>0.74</v>
      </c>
      <c r="K78" s="13">
        <v>0.42</v>
      </c>
      <c r="L78" s="13">
        <v>1.53</v>
      </c>
    </row>
    <row r="79" spans="1:12" x14ac:dyDescent="0.3">
      <c r="A79" s="5" t="s">
        <v>112</v>
      </c>
      <c r="B79" s="5" t="s">
        <v>110</v>
      </c>
      <c r="C79" s="5" t="s">
        <v>35</v>
      </c>
      <c r="D79" s="11">
        <v>2</v>
      </c>
      <c r="E79" s="11">
        <v>95</v>
      </c>
      <c r="F79" s="12">
        <v>248.4</v>
      </c>
      <c r="G79" s="12">
        <v>35.799999999999997</v>
      </c>
      <c r="H79" s="12">
        <v>92.5</v>
      </c>
      <c r="I79" s="12">
        <v>429.7</v>
      </c>
      <c r="J79" s="13">
        <v>0.76</v>
      </c>
      <c r="K79" s="13">
        <v>0.65</v>
      </c>
      <c r="L79" s="13">
        <v>2.69</v>
      </c>
    </row>
    <row r="80" spans="1:12" x14ac:dyDescent="0.3">
      <c r="A80" s="5" t="s">
        <v>113</v>
      </c>
      <c r="B80" s="5" t="s">
        <v>110</v>
      </c>
      <c r="C80" s="5" t="s">
        <v>35</v>
      </c>
      <c r="D80" s="11">
        <v>3</v>
      </c>
      <c r="E80" s="11">
        <v>64</v>
      </c>
      <c r="F80" s="12">
        <v>177.7</v>
      </c>
      <c r="G80" s="12">
        <v>26.3</v>
      </c>
      <c r="H80" s="12">
        <v>83.1</v>
      </c>
      <c r="I80" s="12">
        <v>278.5</v>
      </c>
      <c r="J80" s="13">
        <v>0.62</v>
      </c>
      <c r="K80" s="13">
        <v>0.47</v>
      </c>
      <c r="L80" s="13">
        <v>2</v>
      </c>
    </row>
    <row r="81" spans="1:12" x14ac:dyDescent="0.3">
      <c r="A81" s="5" t="s">
        <v>114</v>
      </c>
      <c r="B81" s="5" t="s">
        <v>110</v>
      </c>
      <c r="C81" s="5" t="s">
        <v>35</v>
      </c>
      <c r="D81" s="11">
        <v>6</v>
      </c>
      <c r="E81" s="11">
        <v>89</v>
      </c>
      <c r="F81" s="12">
        <v>222.3</v>
      </c>
      <c r="G81" s="12">
        <v>30.9</v>
      </c>
      <c r="H81" s="12">
        <v>131.69999999999999</v>
      </c>
      <c r="I81" s="12">
        <v>377.7</v>
      </c>
      <c r="J81" s="13">
        <v>1.04</v>
      </c>
      <c r="K81" s="13">
        <v>0.54</v>
      </c>
      <c r="L81" s="13">
        <v>2.99</v>
      </c>
    </row>
    <row r="82" spans="1:12" x14ac:dyDescent="0.3">
      <c r="A82" s="5" t="s">
        <v>115</v>
      </c>
      <c r="B82" s="5" t="s">
        <v>110</v>
      </c>
      <c r="C82" s="5" t="s">
        <v>35</v>
      </c>
      <c r="D82" s="11">
        <v>5</v>
      </c>
      <c r="E82" s="11">
        <v>76</v>
      </c>
      <c r="F82" s="12">
        <v>177.6</v>
      </c>
      <c r="G82" s="12">
        <v>25.8</v>
      </c>
      <c r="H82" s="12">
        <v>110.3</v>
      </c>
      <c r="I82" s="12">
        <v>262.8</v>
      </c>
      <c r="J82" s="13">
        <v>0.7</v>
      </c>
      <c r="K82" s="13">
        <v>0.47</v>
      </c>
      <c r="L82" s="13">
        <v>2.2999999999999998</v>
      </c>
    </row>
    <row r="83" spans="1:12" x14ac:dyDescent="0.3">
      <c r="A83" s="5" t="s">
        <v>116</v>
      </c>
      <c r="B83" s="5" t="s">
        <v>110</v>
      </c>
      <c r="C83" s="5" t="s">
        <v>35</v>
      </c>
      <c r="D83" s="11">
        <v>7</v>
      </c>
      <c r="E83" s="11">
        <v>79</v>
      </c>
      <c r="F83" s="12">
        <v>215.4</v>
      </c>
      <c r="G83" s="12">
        <v>28.9</v>
      </c>
      <c r="H83" s="12">
        <v>88.1</v>
      </c>
      <c r="I83" s="12">
        <v>428.1</v>
      </c>
      <c r="J83" s="13">
        <v>0.83</v>
      </c>
      <c r="K83" s="13">
        <v>0.47</v>
      </c>
      <c r="L83" s="13">
        <v>2.44</v>
      </c>
    </row>
    <row r="84" spans="1:12" x14ac:dyDescent="0.3">
      <c r="A84" s="5" t="s">
        <v>117</v>
      </c>
      <c r="B84" s="5" t="s">
        <v>110</v>
      </c>
      <c r="C84" s="5" t="s">
        <v>35</v>
      </c>
      <c r="D84" s="11">
        <v>2</v>
      </c>
      <c r="E84" s="11">
        <v>65</v>
      </c>
      <c r="F84" s="12">
        <v>184.7</v>
      </c>
      <c r="G84" s="12">
        <v>24.5</v>
      </c>
      <c r="H84" s="12">
        <v>68.5</v>
      </c>
      <c r="I84" s="12">
        <v>310.89999999999998</v>
      </c>
      <c r="J84" s="13">
        <v>0.54</v>
      </c>
      <c r="K84" s="13">
        <v>0.5</v>
      </c>
      <c r="L84" s="13">
        <v>2.17</v>
      </c>
    </row>
    <row r="85" spans="1:12" x14ac:dyDescent="0.3">
      <c r="A85" s="5" t="s">
        <v>118</v>
      </c>
      <c r="B85" s="5" t="s">
        <v>110</v>
      </c>
      <c r="C85" s="5" t="s">
        <v>35</v>
      </c>
      <c r="D85" s="11">
        <v>6</v>
      </c>
      <c r="E85" s="11">
        <v>87</v>
      </c>
      <c r="F85" s="12">
        <v>187.1</v>
      </c>
      <c r="G85" s="12">
        <v>32.299999999999997</v>
      </c>
      <c r="H85" s="12">
        <v>145.6</v>
      </c>
      <c r="I85" s="12">
        <v>387.3</v>
      </c>
      <c r="J85" s="13">
        <v>1.04</v>
      </c>
      <c r="K85" s="13">
        <v>0.57999999999999996</v>
      </c>
      <c r="L85" s="13">
        <v>2.98</v>
      </c>
    </row>
    <row r="86" spans="1:12" x14ac:dyDescent="0.3">
      <c r="A86" s="5" t="s">
        <v>119</v>
      </c>
      <c r="B86" s="5" t="s">
        <v>110</v>
      </c>
      <c r="C86" s="5" t="s">
        <v>35</v>
      </c>
      <c r="D86" s="11">
        <v>3</v>
      </c>
      <c r="E86" s="11">
        <v>118</v>
      </c>
      <c r="F86" s="12">
        <v>327.8</v>
      </c>
      <c r="G86" s="12">
        <v>43</v>
      </c>
      <c r="H86" s="12">
        <v>112.8</v>
      </c>
      <c r="I86" s="12">
        <v>505.6</v>
      </c>
      <c r="J86" s="13">
        <v>0.99</v>
      </c>
      <c r="K86" s="13">
        <v>0.61</v>
      </c>
      <c r="L86" s="13">
        <v>3.6</v>
      </c>
    </row>
    <row r="87" spans="1:12" x14ac:dyDescent="0.3">
      <c r="A87" s="5" t="s">
        <v>120</v>
      </c>
      <c r="B87" s="5" t="s">
        <v>110</v>
      </c>
      <c r="C87" s="5" t="s">
        <v>35</v>
      </c>
      <c r="D87" s="11">
        <v>3</v>
      </c>
      <c r="E87" s="11">
        <v>43</v>
      </c>
      <c r="F87" s="12">
        <v>133.19999999999999</v>
      </c>
      <c r="G87" s="12">
        <v>20.5</v>
      </c>
      <c r="H87" s="12">
        <v>67.2</v>
      </c>
      <c r="I87" s="12">
        <v>212.6</v>
      </c>
      <c r="J87" s="13">
        <v>0.51</v>
      </c>
      <c r="K87" s="13">
        <v>0.33</v>
      </c>
      <c r="L87" s="13">
        <v>1.32</v>
      </c>
    </row>
    <row r="88" spans="1:12" x14ac:dyDescent="0.3">
      <c r="A88" s="5" t="s">
        <v>121</v>
      </c>
      <c r="B88" s="5" t="s">
        <v>110</v>
      </c>
      <c r="C88" s="5" t="s">
        <v>35</v>
      </c>
      <c r="D88" s="11">
        <v>7</v>
      </c>
      <c r="E88" s="11">
        <v>69</v>
      </c>
      <c r="F88" s="12">
        <v>157.9</v>
      </c>
      <c r="G88" s="12">
        <v>20.6</v>
      </c>
      <c r="H88" s="12">
        <v>88.9</v>
      </c>
      <c r="I88" s="12">
        <v>308.5</v>
      </c>
      <c r="J88" s="13">
        <v>0.69</v>
      </c>
      <c r="K88" s="13">
        <v>0.5</v>
      </c>
      <c r="L88" s="13">
        <v>1.97</v>
      </c>
    </row>
    <row r="89" spans="1:12" x14ac:dyDescent="0.3">
      <c r="A89" s="5" t="s">
        <v>122</v>
      </c>
      <c r="B89" s="5" t="s">
        <v>110</v>
      </c>
      <c r="C89" s="5" t="s">
        <v>35</v>
      </c>
      <c r="D89" s="11">
        <v>3</v>
      </c>
      <c r="E89" s="11">
        <v>58</v>
      </c>
      <c r="F89" s="12">
        <v>139.9</v>
      </c>
      <c r="G89" s="12">
        <v>19.8</v>
      </c>
      <c r="H89" s="12">
        <v>83.2</v>
      </c>
      <c r="I89" s="12">
        <v>223</v>
      </c>
      <c r="J89" s="13">
        <v>0.44</v>
      </c>
      <c r="K89" s="13">
        <v>0.37</v>
      </c>
      <c r="L89" s="13">
        <v>1.91</v>
      </c>
    </row>
    <row r="90" spans="1:12" x14ac:dyDescent="0.3">
      <c r="A90" s="5" t="s">
        <v>123</v>
      </c>
      <c r="B90" s="5" t="s">
        <v>110</v>
      </c>
      <c r="C90" s="5" t="s">
        <v>35</v>
      </c>
      <c r="D90" s="11">
        <v>8</v>
      </c>
      <c r="E90" s="11">
        <v>62</v>
      </c>
      <c r="F90" s="12">
        <v>152.80000000000001</v>
      </c>
      <c r="G90" s="12">
        <v>25.4</v>
      </c>
      <c r="H90" s="12">
        <v>72.2</v>
      </c>
      <c r="I90" s="12">
        <v>251.1</v>
      </c>
      <c r="J90" s="13">
        <v>0.63</v>
      </c>
      <c r="K90" s="13">
        <v>0.35</v>
      </c>
      <c r="L90" s="13">
        <v>1.71</v>
      </c>
    </row>
    <row r="91" spans="1:12" x14ac:dyDescent="0.3">
      <c r="A91" s="5" t="s">
        <v>124</v>
      </c>
      <c r="B91" s="5" t="s">
        <v>110</v>
      </c>
      <c r="C91" s="5" t="s">
        <v>35</v>
      </c>
      <c r="D91" s="11">
        <v>1</v>
      </c>
      <c r="E91" s="11">
        <v>60</v>
      </c>
      <c r="F91" s="12">
        <v>121.3</v>
      </c>
      <c r="G91" s="12">
        <v>19.5</v>
      </c>
      <c r="H91" s="12">
        <v>77.599999999999994</v>
      </c>
      <c r="I91" s="12">
        <v>244.8</v>
      </c>
      <c r="J91" s="13">
        <v>0.5</v>
      </c>
      <c r="K91" s="13">
        <v>0.43</v>
      </c>
      <c r="L91" s="13">
        <v>1.47</v>
      </c>
    </row>
    <row r="92" spans="1:12" x14ac:dyDescent="0.3">
      <c r="A92" s="5" t="s">
        <v>125</v>
      </c>
      <c r="B92" s="5" t="s">
        <v>110</v>
      </c>
      <c r="C92" s="5" t="s">
        <v>35</v>
      </c>
      <c r="D92" s="11">
        <v>1</v>
      </c>
      <c r="E92" s="11">
        <v>98</v>
      </c>
      <c r="F92" s="12">
        <v>219.8</v>
      </c>
      <c r="G92" s="12">
        <v>32.1</v>
      </c>
      <c r="H92" s="12">
        <v>105.1</v>
      </c>
      <c r="I92" s="12">
        <v>377.9</v>
      </c>
      <c r="J92" s="13">
        <v>1.05</v>
      </c>
      <c r="K92" s="13">
        <v>0.68</v>
      </c>
      <c r="L92" s="13">
        <v>2.95</v>
      </c>
    </row>
    <row r="93" spans="1:12" x14ac:dyDescent="0.3">
      <c r="A93" s="5" t="s">
        <v>126</v>
      </c>
      <c r="B93" s="5" t="s">
        <v>110</v>
      </c>
      <c r="C93" s="5" t="s">
        <v>35</v>
      </c>
      <c r="D93" s="11">
        <v>7</v>
      </c>
      <c r="E93" s="11">
        <v>58</v>
      </c>
      <c r="F93" s="12">
        <v>147.9</v>
      </c>
      <c r="G93" s="12">
        <v>25.3</v>
      </c>
      <c r="H93" s="12">
        <v>72.2</v>
      </c>
      <c r="I93" s="12">
        <v>286.3</v>
      </c>
      <c r="J93" s="13">
        <v>0.52</v>
      </c>
      <c r="K93" s="13">
        <v>0.49</v>
      </c>
      <c r="L93" s="13">
        <v>2.2400000000000002</v>
      </c>
    </row>
    <row r="94" spans="1:12" x14ac:dyDescent="0.3">
      <c r="A94" s="5" t="s">
        <v>127</v>
      </c>
      <c r="B94" s="5" t="s">
        <v>110</v>
      </c>
      <c r="C94" s="5" t="s">
        <v>35</v>
      </c>
      <c r="D94" s="11">
        <v>7</v>
      </c>
      <c r="E94" s="11">
        <v>65</v>
      </c>
      <c r="F94" s="12">
        <v>145.1</v>
      </c>
      <c r="G94" s="12">
        <v>19.2</v>
      </c>
      <c r="H94" s="12">
        <v>53.4</v>
      </c>
      <c r="I94" s="12">
        <v>248</v>
      </c>
      <c r="J94" s="13">
        <v>0.46</v>
      </c>
      <c r="K94" s="13">
        <v>0.46</v>
      </c>
      <c r="L94" s="13">
        <v>1.52</v>
      </c>
    </row>
    <row r="95" spans="1:12" x14ac:dyDescent="0.3">
      <c r="A95" s="5" t="s">
        <v>128</v>
      </c>
      <c r="B95" s="5" t="s">
        <v>129</v>
      </c>
      <c r="C95" s="5" t="s">
        <v>35</v>
      </c>
      <c r="D95" s="11">
        <v>2</v>
      </c>
      <c r="E95" s="11">
        <v>86</v>
      </c>
      <c r="F95" s="12">
        <v>247.8</v>
      </c>
      <c r="G95" s="12">
        <v>39</v>
      </c>
      <c r="H95" s="12">
        <v>79.400000000000006</v>
      </c>
      <c r="I95" s="12">
        <v>369.2</v>
      </c>
      <c r="J95" s="13">
        <v>0.74</v>
      </c>
      <c r="K95" s="13">
        <v>0.71</v>
      </c>
      <c r="L95" s="13">
        <v>3.02</v>
      </c>
    </row>
    <row r="96" spans="1:12" x14ac:dyDescent="0.3">
      <c r="A96" s="5" t="s">
        <v>130</v>
      </c>
      <c r="B96" s="5" t="s">
        <v>129</v>
      </c>
      <c r="C96" s="5" t="s">
        <v>35</v>
      </c>
      <c r="D96" s="11">
        <v>6</v>
      </c>
      <c r="E96" s="11">
        <v>122</v>
      </c>
      <c r="F96" s="12">
        <v>324.2</v>
      </c>
      <c r="G96" s="12">
        <v>57.1</v>
      </c>
      <c r="H96" s="12">
        <v>111</v>
      </c>
      <c r="I96" s="12">
        <v>547.5</v>
      </c>
      <c r="J96" s="13">
        <v>0.99</v>
      </c>
      <c r="K96" s="13">
        <v>0.74</v>
      </c>
      <c r="L96" s="13">
        <v>3.28</v>
      </c>
    </row>
    <row r="97" spans="1:12" x14ac:dyDescent="0.3">
      <c r="A97" s="5" t="s">
        <v>131</v>
      </c>
      <c r="B97" s="5" t="s">
        <v>129</v>
      </c>
      <c r="C97" s="5" t="s">
        <v>35</v>
      </c>
      <c r="D97" s="11">
        <v>8</v>
      </c>
      <c r="E97" s="11">
        <v>59</v>
      </c>
      <c r="F97" s="12">
        <v>142.5</v>
      </c>
      <c r="G97" s="12">
        <v>26.2</v>
      </c>
      <c r="H97" s="12">
        <v>59</v>
      </c>
      <c r="I97" s="12">
        <v>301.10000000000002</v>
      </c>
      <c r="J97" s="13">
        <v>0.7</v>
      </c>
      <c r="K97" s="13">
        <v>0.37</v>
      </c>
      <c r="L97" s="13">
        <v>1.89</v>
      </c>
    </row>
    <row r="98" spans="1:12" x14ac:dyDescent="0.3">
      <c r="A98" s="5" t="s">
        <v>132</v>
      </c>
      <c r="B98" s="5" t="s">
        <v>129</v>
      </c>
      <c r="C98" s="5" t="s">
        <v>35</v>
      </c>
      <c r="D98" s="11">
        <v>2</v>
      </c>
      <c r="E98" s="11">
        <v>64</v>
      </c>
      <c r="F98" s="12">
        <v>165.1</v>
      </c>
      <c r="G98" s="12">
        <v>25.1</v>
      </c>
      <c r="H98" s="12">
        <v>81.7</v>
      </c>
      <c r="I98" s="12">
        <v>285.39999999999998</v>
      </c>
      <c r="J98" s="13">
        <v>0.66</v>
      </c>
      <c r="K98" s="13">
        <v>0.57999999999999996</v>
      </c>
      <c r="L98" s="13">
        <v>2.15</v>
      </c>
    </row>
    <row r="99" spans="1:12" x14ac:dyDescent="0.3">
      <c r="A99" s="5" t="s">
        <v>133</v>
      </c>
      <c r="B99" s="5" t="s">
        <v>129</v>
      </c>
      <c r="C99" s="5" t="s">
        <v>35</v>
      </c>
      <c r="D99" s="11">
        <v>3</v>
      </c>
      <c r="E99" s="11">
        <v>70</v>
      </c>
      <c r="F99" s="12">
        <v>220.5</v>
      </c>
      <c r="G99" s="12">
        <v>32.6</v>
      </c>
      <c r="H99" s="12">
        <v>84.6</v>
      </c>
      <c r="I99" s="12">
        <v>283.7</v>
      </c>
      <c r="J99" s="13">
        <v>0.73</v>
      </c>
      <c r="K99" s="13">
        <v>0.46</v>
      </c>
      <c r="L99" s="13">
        <v>2.02</v>
      </c>
    </row>
    <row r="100" spans="1:12" x14ac:dyDescent="0.3">
      <c r="A100" s="5" t="s">
        <v>134</v>
      </c>
      <c r="B100" s="5" t="s">
        <v>129</v>
      </c>
      <c r="C100" s="5" t="s">
        <v>35</v>
      </c>
      <c r="D100" s="11">
        <v>8</v>
      </c>
      <c r="E100" s="11">
        <v>68</v>
      </c>
      <c r="F100" s="12">
        <v>235.5</v>
      </c>
      <c r="G100" s="12">
        <v>39.299999999999997</v>
      </c>
      <c r="H100" s="12">
        <v>98</v>
      </c>
      <c r="I100" s="12">
        <v>357.6</v>
      </c>
      <c r="J100" s="13">
        <v>0.81</v>
      </c>
      <c r="K100" s="13">
        <v>0.61</v>
      </c>
      <c r="L100" s="13">
        <v>2.36</v>
      </c>
    </row>
    <row r="101" spans="1:12" x14ac:dyDescent="0.3">
      <c r="A101" s="5" t="s">
        <v>135</v>
      </c>
      <c r="B101" s="5" t="s">
        <v>129</v>
      </c>
      <c r="C101" s="5" t="s">
        <v>35</v>
      </c>
      <c r="D101" s="11">
        <v>5</v>
      </c>
      <c r="E101" s="11">
        <v>79</v>
      </c>
      <c r="F101" s="12">
        <v>243.3</v>
      </c>
      <c r="G101" s="12">
        <v>43.4</v>
      </c>
      <c r="H101" s="12">
        <v>121.6</v>
      </c>
      <c r="I101" s="12">
        <v>439.4</v>
      </c>
      <c r="J101" s="13">
        <v>0.8</v>
      </c>
      <c r="K101" s="13">
        <v>0.69</v>
      </c>
      <c r="L101" s="13">
        <v>2.9</v>
      </c>
    </row>
    <row r="102" spans="1:12" x14ac:dyDescent="0.3">
      <c r="A102" s="5" t="s">
        <v>136</v>
      </c>
      <c r="B102" s="5" t="s">
        <v>129</v>
      </c>
      <c r="C102" s="5" t="s">
        <v>35</v>
      </c>
      <c r="D102" s="11">
        <v>4</v>
      </c>
      <c r="E102" s="11">
        <v>98</v>
      </c>
      <c r="F102" s="12">
        <v>229.2</v>
      </c>
      <c r="G102" s="12">
        <v>35.5</v>
      </c>
      <c r="H102" s="12">
        <v>85.9</v>
      </c>
      <c r="I102" s="12">
        <v>394.4</v>
      </c>
      <c r="J102" s="13">
        <v>0.8</v>
      </c>
      <c r="K102" s="13">
        <v>0.67</v>
      </c>
      <c r="L102" s="13">
        <v>3.08</v>
      </c>
    </row>
    <row r="103" spans="1:12" x14ac:dyDescent="0.3">
      <c r="A103" s="5" t="s">
        <v>137</v>
      </c>
      <c r="B103" s="5" t="s">
        <v>129</v>
      </c>
      <c r="C103" s="5" t="s">
        <v>35</v>
      </c>
      <c r="D103" s="11">
        <v>3</v>
      </c>
      <c r="E103" s="11">
        <v>108</v>
      </c>
      <c r="F103" s="12">
        <v>274.39999999999998</v>
      </c>
      <c r="G103" s="12">
        <v>48.7</v>
      </c>
      <c r="H103" s="12">
        <v>149.30000000000001</v>
      </c>
      <c r="I103" s="12">
        <v>411.8</v>
      </c>
      <c r="J103" s="13">
        <v>0.83</v>
      </c>
      <c r="K103" s="13">
        <v>0.66</v>
      </c>
      <c r="L103" s="13">
        <v>3.38</v>
      </c>
    </row>
    <row r="104" spans="1:12" x14ac:dyDescent="0.3">
      <c r="A104" s="5" t="s">
        <v>138</v>
      </c>
      <c r="B104" s="5" t="s">
        <v>129</v>
      </c>
      <c r="C104" s="5" t="s">
        <v>35</v>
      </c>
      <c r="D104" s="11">
        <v>2</v>
      </c>
      <c r="E104" s="11">
        <v>78</v>
      </c>
      <c r="F104" s="12">
        <v>193.6</v>
      </c>
      <c r="G104" s="12">
        <v>26.6</v>
      </c>
      <c r="H104" s="12">
        <v>68.900000000000006</v>
      </c>
      <c r="I104" s="12">
        <v>316.39999999999998</v>
      </c>
      <c r="J104" s="13">
        <v>0.61</v>
      </c>
      <c r="K104" s="13">
        <v>0.48</v>
      </c>
      <c r="L104" s="13">
        <v>2.52</v>
      </c>
    </row>
    <row r="105" spans="1:12" x14ac:dyDescent="0.3">
      <c r="A105" s="5" t="s">
        <v>139</v>
      </c>
      <c r="B105" s="5" t="s">
        <v>129</v>
      </c>
      <c r="C105" s="5" t="s">
        <v>35</v>
      </c>
      <c r="D105" s="11">
        <v>10</v>
      </c>
      <c r="E105" s="11">
        <v>80</v>
      </c>
      <c r="F105" s="12">
        <v>224.6</v>
      </c>
      <c r="G105" s="12">
        <v>33.9</v>
      </c>
      <c r="H105" s="12">
        <v>73.7</v>
      </c>
      <c r="I105" s="12">
        <v>458.9</v>
      </c>
      <c r="J105" s="13">
        <v>0.98</v>
      </c>
      <c r="K105" s="13">
        <v>0.69</v>
      </c>
      <c r="L105" s="13">
        <v>2.76</v>
      </c>
    </row>
    <row r="106" spans="1:12" x14ac:dyDescent="0.3">
      <c r="A106" s="5" t="s">
        <v>140</v>
      </c>
      <c r="B106" s="5" t="s">
        <v>129</v>
      </c>
      <c r="C106" s="5" t="s">
        <v>35</v>
      </c>
      <c r="D106" s="11">
        <v>10</v>
      </c>
      <c r="E106" s="11">
        <v>67</v>
      </c>
      <c r="F106" s="12">
        <v>221.7</v>
      </c>
      <c r="G106" s="12">
        <v>39.5</v>
      </c>
      <c r="H106" s="12">
        <v>89.9</v>
      </c>
      <c r="I106" s="12">
        <v>339.3</v>
      </c>
      <c r="J106" s="13">
        <v>0.74</v>
      </c>
      <c r="K106" s="13">
        <v>0.46</v>
      </c>
      <c r="L106" s="13">
        <v>2.21</v>
      </c>
    </row>
    <row r="107" spans="1:12" x14ac:dyDescent="0.3">
      <c r="A107" s="5" t="s">
        <v>141</v>
      </c>
      <c r="B107" s="5" t="s">
        <v>129</v>
      </c>
      <c r="C107" s="5" t="s">
        <v>35</v>
      </c>
      <c r="D107" s="11">
        <v>6</v>
      </c>
      <c r="E107" s="11">
        <v>65</v>
      </c>
      <c r="F107" s="12">
        <v>171.9</v>
      </c>
      <c r="G107" s="12">
        <v>31</v>
      </c>
      <c r="H107" s="12">
        <v>67.7</v>
      </c>
      <c r="I107" s="12">
        <v>294.5</v>
      </c>
      <c r="J107" s="13">
        <v>0.61</v>
      </c>
      <c r="K107" s="13">
        <v>0.35</v>
      </c>
      <c r="L107" s="13">
        <v>1.5</v>
      </c>
    </row>
    <row r="108" spans="1:12" x14ac:dyDescent="0.3">
      <c r="A108" s="5" t="s">
        <v>142</v>
      </c>
      <c r="B108" s="5" t="s">
        <v>129</v>
      </c>
      <c r="C108" s="5" t="s">
        <v>35</v>
      </c>
      <c r="D108" s="11">
        <v>2</v>
      </c>
      <c r="E108" s="11">
        <v>78</v>
      </c>
      <c r="F108" s="12">
        <v>183.9</v>
      </c>
      <c r="G108" s="12">
        <v>29.2</v>
      </c>
      <c r="H108" s="12">
        <v>104.6</v>
      </c>
      <c r="I108" s="12">
        <v>409.7</v>
      </c>
      <c r="J108" s="13">
        <v>0.69</v>
      </c>
      <c r="K108" s="13">
        <v>0.55000000000000004</v>
      </c>
      <c r="L108" s="13">
        <v>2.11</v>
      </c>
    </row>
    <row r="109" spans="1:12" x14ac:dyDescent="0.3">
      <c r="A109" s="5" t="s">
        <v>143</v>
      </c>
      <c r="B109" s="5" t="s">
        <v>129</v>
      </c>
      <c r="C109" s="5" t="s">
        <v>35</v>
      </c>
      <c r="D109" s="11">
        <v>7</v>
      </c>
      <c r="E109" s="11">
        <v>89</v>
      </c>
      <c r="F109" s="12">
        <v>228.1</v>
      </c>
      <c r="G109" s="12">
        <v>41.5</v>
      </c>
      <c r="H109" s="12">
        <v>78.5</v>
      </c>
      <c r="I109" s="12">
        <v>388.2</v>
      </c>
      <c r="J109" s="13">
        <v>0.95</v>
      </c>
      <c r="K109" s="13">
        <v>0.63</v>
      </c>
      <c r="L109" s="13">
        <v>3.2</v>
      </c>
    </row>
    <row r="110" spans="1:12" x14ac:dyDescent="0.3">
      <c r="A110" s="5" t="s">
        <v>144</v>
      </c>
      <c r="B110" s="5" t="s">
        <v>129</v>
      </c>
      <c r="C110" s="5" t="s">
        <v>35</v>
      </c>
      <c r="D110" s="11">
        <v>2</v>
      </c>
      <c r="E110" s="11">
        <v>81</v>
      </c>
      <c r="F110" s="12">
        <v>197.9</v>
      </c>
      <c r="G110" s="12">
        <v>34.1</v>
      </c>
      <c r="H110" s="12">
        <v>83.9</v>
      </c>
      <c r="I110" s="12">
        <v>361.2</v>
      </c>
      <c r="J110" s="13">
        <v>0.75</v>
      </c>
      <c r="K110" s="13">
        <v>0.56999999999999995</v>
      </c>
      <c r="L110" s="13">
        <v>2.23</v>
      </c>
    </row>
    <row r="111" spans="1:12" x14ac:dyDescent="0.3">
      <c r="A111" s="5" t="s">
        <v>145</v>
      </c>
      <c r="B111" s="5" t="s">
        <v>146</v>
      </c>
      <c r="C111" s="5" t="s">
        <v>147</v>
      </c>
      <c r="D111" s="11">
        <v>8</v>
      </c>
      <c r="E111" s="11">
        <v>100</v>
      </c>
      <c r="F111" s="12">
        <v>408.4</v>
      </c>
      <c r="G111" s="12">
        <v>74.599999999999994</v>
      </c>
      <c r="H111" s="12">
        <v>104</v>
      </c>
      <c r="I111" s="12">
        <v>625.4</v>
      </c>
      <c r="J111" s="13">
        <v>0.81</v>
      </c>
      <c r="K111" s="13">
        <v>1.06</v>
      </c>
      <c r="L111" s="13">
        <v>3.3</v>
      </c>
    </row>
    <row r="112" spans="1:12" x14ac:dyDescent="0.3">
      <c r="A112" s="5" t="s">
        <v>148</v>
      </c>
      <c r="B112" s="5" t="s">
        <v>146</v>
      </c>
      <c r="C112" s="5" t="s">
        <v>147</v>
      </c>
      <c r="D112" s="11">
        <v>3</v>
      </c>
      <c r="E112" s="11">
        <v>61</v>
      </c>
      <c r="F112" s="12">
        <v>270</v>
      </c>
      <c r="G112" s="12">
        <v>51.1</v>
      </c>
      <c r="H112" s="12">
        <v>77.900000000000006</v>
      </c>
      <c r="I112" s="12">
        <v>385.1</v>
      </c>
      <c r="J112" s="13">
        <v>0.71</v>
      </c>
      <c r="K112" s="13">
        <v>0.75</v>
      </c>
      <c r="L112" s="13">
        <v>1.94</v>
      </c>
    </row>
    <row r="113" spans="1:12" x14ac:dyDescent="0.3">
      <c r="A113" s="5" t="s">
        <v>149</v>
      </c>
      <c r="B113" s="5" t="s">
        <v>146</v>
      </c>
      <c r="C113" s="5" t="s">
        <v>147</v>
      </c>
      <c r="D113" s="11">
        <v>3</v>
      </c>
      <c r="E113" s="11">
        <v>91</v>
      </c>
      <c r="F113" s="12">
        <v>349.5</v>
      </c>
      <c r="G113" s="12">
        <v>63.6</v>
      </c>
      <c r="H113" s="12">
        <v>145.19999999999999</v>
      </c>
      <c r="I113" s="12">
        <v>691.3</v>
      </c>
      <c r="J113" s="13">
        <v>1.44</v>
      </c>
      <c r="K113" s="13">
        <v>0.87</v>
      </c>
      <c r="L113" s="13">
        <v>3.14</v>
      </c>
    </row>
    <row r="114" spans="1:12" x14ac:dyDescent="0.3">
      <c r="A114" s="5" t="s">
        <v>150</v>
      </c>
      <c r="B114" s="5" t="s">
        <v>146</v>
      </c>
      <c r="C114" s="5" t="s">
        <v>147</v>
      </c>
      <c r="D114" s="11">
        <v>8</v>
      </c>
      <c r="E114" s="11">
        <v>91</v>
      </c>
      <c r="F114" s="12">
        <v>315.89999999999998</v>
      </c>
      <c r="G114" s="12">
        <v>49.3</v>
      </c>
      <c r="H114" s="12">
        <v>102.4</v>
      </c>
      <c r="I114" s="12">
        <v>605.9</v>
      </c>
      <c r="J114" s="13">
        <v>0.92</v>
      </c>
      <c r="K114" s="13">
        <v>0.94</v>
      </c>
      <c r="L114" s="13">
        <v>2.89</v>
      </c>
    </row>
    <row r="115" spans="1:12" x14ac:dyDescent="0.3">
      <c r="A115" s="5" t="s">
        <v>151</v>
      </c>
      <c r="B115" s="5" t="s">
        <v>146</v>
      </c>
      <c r="C115" s="5" t="s">
        <v>147</v>
      </c>
      <c r="D115" s="11">
        <v>4</v>
      </c>
      <c r="E115" s="11">
        <v>74</v>
      </c>
      <c r="F115" s="12">
        <v>295.39999999999998</v>
      </c>
      <c r="G115" s="12">
        <v>56</v>
      </c>
      <c r="H115" s="12">
        <v>122.6</v>
      </c>
      <c r="I115" s="12">
        <v>563.70000000000005</v>
      </c>
      <c r="J115" s="13">
        <v>0.64</v>
      </c>
      <c r="K115" s="13">
        <v>0.79</v>
      </c>
      <c r="L115" s="13">
        <v>2.29</v>
      </c>
    </row>
    <row r="116" spans="1:12" x14ac:dyDescent="0.3">
      <c r="A116" s="5" t="s">
        <v>152</v>
      </c>
      <c r="B116" s="5" t="s">
        <v>146</v>
      </c>
      <c r="C116" s="5" t="s">
        <v>147</v>
      </c>
      <c r="D116" s="11">
        <v>3</v>
      </c>
      <c r="E116" s="11">
        <v>49</v>
      </c>
      <c r="F116" s="12">
        <v>174.6</v>
      </c>
      <c r="G116" s="12">
        <v>26.8</v>
      </c>
      <c r="H116" s="12">
        <v>67.599999999999994</v>
      </c>
      <c r="I116" s="12">
        <v>284.10000000000002</v>
      </c>
      <c r="J116" s="13">
        <v>0.47</v>
      </c>
      <c r="K116" s="13">
        <v>0.53</v>
      </c>
      <c r="L116" s="13">
        <v>1.68</v>
      </c>
    </row>
    <row r="117" spans="1:12" x14ac:dyDescent="0.3">
      <c r="A117" s="5" t="s">
        <v>153</v>
      </c>
      <c r="B117" s="5" t="s">
        <v>146</v>
      </c>
      <c r="C117" s="5" t="s">
        <v>147</v>
      </c>
      <c r="D117" s="11">
        <v>3</v>
      </c>
      <c r="E117" s="11">
        <v>59</v>
      </c>
      <c r="F117" s="12">
        <v>201.6</v>
      </c>
      <c r="G117" s="12">
        <v>32.200000000000003</v>
      </c>
      <c r="H117" s="12">
        <v>87.7</v>
      </c>
      <c r="I117" s="12">
        <v>439.2</v>
      </c>
      <c r="J117" s="13">
        <v>0.87</v>
      </c>
      <c r="K117" s="13">
        <v>0.62</v>
      </c>
      <c r="L117" s="13">
        <v>1.75</v>
      </c>
    </row>
    <row r="118" spans="1:12" x14ac:dyDescent="0.3">
      <c r="A118" s="5" t="s">
        <v>154</v>
      </c>
      <c r="B118" s="5" t="s">
        <v>146</v>
      </c>
      <c r="C118" s="5" t="s">
        <v>147</v>
      </c>
      <c r="D118" s="11">
        <v>7</v>
      </c>
      <c r="E118" s="11">
        <v>93</v>
      </c>
      <c r="F118" s="12">
        <v>276.8</v>
      </c>
      <c r="G118" s="12">
        <v>43.5</v>
      </c>
      <c r="H118" s="12">
        <v>132.19999999999999</v>
      </c>
      <c r="I118" s="12">
        <v>494.2</v>
      </c>
      <c r="J118" s="13">
        <v>1.05</v>
      </c>
      <c r="K118" s="13">
        <v>0.7</v>
      </c>
      <c r="L118" s="13">
        <v>2.42</v>
      </c>
    </row>
    <row r="119" spans="1:12" x14ac:dyDescent="0.3">
      <c r="A119" s="5" t="s">
        <v>155</v>
      </c>
      <c r="B119" s="5" t="s">
        <v>146</v>
      </c>
      <c r="C119" s="5" t="s">
        <v>147</v>
      </c>
      <c r="D119" s="11">
        <v>8</v>
      </c>
      <c r="E119" s="11">
        <v>113</v>
      </c>
      <c r="F119" s="12">
        <v>388.6</v>
      </c>
      <c r="G119" s="12">
        <v>59.2</v>
      </c>
      <c r="H119" s="12">
        <v>118.8</v>
      </c>
      <c r="I119" s="12">
        <v>675.1</v>
      </c>
      <c r="J119" s="13">
        <v>1.22</v>
      </c>
      <c r="K119" s="13">
        <v>1.07</v>
      </c>
      <c r="L119" s="13">
        <v>3.47</v>
      </c>
    </row>
    <row r="120" spans="1:12" x14ac:dyDescent="0.3">
      <c r="A120" s="5" t="s">
        <v>156</v>
      </c>
      <c r="B120" s="5" t="s">
        <v>146</v>
      </c>
      <c r="C120" s="5" t="s">
        <v>147</v>
      </c>
      <c r="D120" s="11">
        <v>4</v>
      </c>
      <c r="E120" s="11">
        <v>76</v>
      </c>
      <c r="F120" s="12">
        <v>295.60000000000002</v>
      </c>
      <c r="G120" s="12">
        <v>51.4</v>
      </c>
      <c r="H120" s="12">
        <v>114.2</v>
      </c>
      <c r="I120" s="12">
        <v>440.7</v>
      </c>
      <c r="J120" s="13">
        <v>0.62</v>
      </c>
      <c r="K120" s="13">
        <v>0.75</v>
      </c>
      <c r="L120" s="13">
        <v>2.64</v>
      </c>
    </row>
    <row r="121" spans="1:12" x14ac:dyDescent="0.3">
      <c r="A121" s="5" t="s">
        <v>157</v>
      </c>
      <c r="B121" s="5" t="s">
        <v>146</v>
      </c>
      <c r="C121" s="5" t="s">
        <v>147</v>
      </c>
      <c r="D121" s="11">
        <v>5</v>
      </c>
      <c r="E121" s="11">
        <v>62</v>
      </c>
      <c r="F121" s="12">
        <v>180.8</v>
      </c>
      <c r="G121" s="12">
        <v>36.5</v>
      </c>
      <c r="H121" s="12">
        <v>66.5</v>
      </c>
      <c r="I121" s="12">
        <v>347.4</v>
      </c>
      <c r="J121" s="13">
        <v>0.66</v>
      </c>
      <c r="K121" s="13">
        <v>0.47</v>
      </c>
      <c r="L121" s="13">
        <v>1.52</v>
      </c>
    </row>
    <row r="122" spans="1:12" x14ac:dyDescent="0.3">
      <c r="A122" s="5" t="s">
        <v>158</v>
      </c>
      <c r="B122" s="5" t="s">
        <v>146</v>
      </c>
      <c r="C122" s="5" t="s">
        <v>147</v>
      </c>
      <c r="D122" s="11">
        <v>2</v>
      </c>
      <c r="E122" s="11">
        <v>110</v>
      </c>
      <c r="F122" s="12">
        <v>353.3</v>
      </c>
      <c r="G122" s="12">
        <v>58.2</v>
      </c>
      <c r="H122" s="12">
        <v>139.5</v>
      </c>
      <c r="I122" s="12">
        <v>611.9</v>
      </c>
      <c r="J122" s="13">
        <v>0.84</v>
      </c>
      <c r="K122" s="13">
        <v>0.89</v>
      </c>
      <c r="L122" s="13">
        <v>3.34</v>
      </c>
    </row>
    <row r="123" spans="1:12" x14ac:dyDescent="0.3">
      <c r="A123" s="5" t="s">
        <v>159</v>
      </c>
      <c r="B123" s="5" t="s">
        <v>146</v>
      </c>
      <c r="C123" s="5" t="s">
        <v>147</v>
      </c>
      <c r="D123" s="11">
        <v>1</v>
      </c>
      <c r="E123" s="11">
        <v>106</v>
      </c>
      <c r="F123" s="12">
        <v>307.60000000000002</v>
      </c>
      <c r="G123" s="12">
        <v>52.6</v>
      </c>
      <c r="H123" s="12">
        <v>104.8</v>
      </c>
      <c r="I123" s="12">
        <v>650.20000000000005</v>
      </c>
      <c r="J123" s="13">
        <v>1.21</v>
      </c>
      <c r="K123" s="13">
        <v>0.72</v>
      </c>
      <c r="L123" s="13">
        <v>2.98</v>
      </c>
    </row>
    <row r="124" spans="1:12" x14ac:dyDescent="0.3">
      <c r="A124" s="5" t="s">
        <v>160</v>
      </c>
      <c r="B124" s="5" t="s">
        <v>146</v>
      </c>
      <c r="C124" s="5" t="s">
        <v>147</v>
      </c>
      <c r="D124" s="11">
        <v>7</v>
      </c>
      <c r="E124" s="11">
        <v>49</v>
      </c>
      <c r="F124" s="12">
        <v>180.6</v>
      </c>
      <c r="G124" s="12">
        <v>28.1</v>
      </c>
      <c r="H124" s="12">
        <v>65.599999999999994</v>
      </c>
      <c r="I124" s="12">
        <v>282</v>
      </c>
      <c r="J124" s="13">
        <v>0.56999999999999995</v>
      </c>
      <c r="K124" s="13">
        <v>0.54</v>
      </c>
      <c r="L124" s="13">
        <v>1.61</v>
      </c>
    </row>
    <row r="125" spans="1:12" x14ac:dyDescent="0.3">
      <c r="A125" s="5" t="s">
        <v>161</v>
      </c>
      <c r="B125" s="5" t="s">
        <v>146</v>
      </c>
      <c r="C125" s="5" t="s">
        <v>147</v>
      </c>
      <c r="D125" s="11">
        <v>2</v>
      </c>
      <c r="E125" s="11">
        <v>64</v>
      </c>
      <c r="F125" s="12">
        <v>230.1</v>
      </c>
      <c r="G125" s="12">
        <v>37.700000000000003</v>
      </c>
      <c r="H125" s="12">
        <v>66.099999999999994</v>
      </c>
      <c r="I125" s="12">
        <v>394.7</v>
      </c>
      <c r="J125" s="13">
        <v>0.81</v>
      </c>
      <c r="K125" s="13">
        <v>0.64</v>
      </c>
      <c r="L125" s="13">
        <v>1.97</v>
      </c>
    </row>
    <row r="126" spans="1:12" x14ac:dyDescent="0.3">
      <c r="A126" s="5" t="s">
        <v>162</v>
      </c>
      <c r="B126" s="5" t="s">
        <v>146</v>
      </c>
      <c r="C126" s="5" t="s">
        <v>147</v>
      </c>
      <c r="D126" s="11">
        <v>4</v>
      </c>
      <c r="E126" s="11">
        <v>59</v>
      </c>
      <c r="F126" s="12">
        <v>236.9</v>
      </c>
      <c r="G126" s="12">
        <v>43.1</v>
      </c>
      <c r="H126" s="12">
        <v>76.5</v>
      </c>
      <c r="I126" s="12">
        <v>332.4</v>
      </c>
      <c r="J126" s="13">
        <v>0.8</v>
      </c>
      <c r="K126" s="13">
        <v>0.56999999999999995</v>
      </c>
      <c r="L126" s="13">
        <v>2.08</v>
      </c>
    </row>
    <row r="127" spans="1:12" x14ac:dyDescent="0.3">
      <c r="A127" s="5" t="s">
        <v>163</v>
      </c>
      <c r="B127" s="5" t="s">
        <v>146</v>
      </c>
      <c r="C127" s="5" t="s">
        <v>147</v>
      </c>
      <c r="D127" s="11">
        <v>3</v>
      </c>
      <c r="E127" s="11">
        <v>75</v>
      </c>
      <c r="F127" s="12">
        <v>250.7</v>
      </c>
      <c r="G127" s="12">
        <v>50</v>
      </c>
      <c r="H127" s="12">
        <v>106.8</v>
      </c>
      <c r="I127" s="12">
        <v>381</v>
      </c>
      <c r="J127" s="13">
        <v>0.72</v>
      </c>
      <c r="K127" s="13">
        <v>0.78</v>
      </c>
      <c r="L127" s="13">
        <v>2.46</v>
      </c>
    </row>
    <row r="128" spans="1:12" x14ac:dyDescent="0.3">
      <c r="A128" s="5" t="s">
        <v>164</v>
      </c>
      <c r="B128" s="5" t="s">
        <v>146</v>
      </c>
      <c r="C128" s="5" t="s">
        <v>147</v>
      </c>
      <c r="D128" s="11">
        <v>3</v>
      </c>
      <c r="E128" s="11">
        <v>91</v>
      </c>
      <c r="F128" s="12">
        <v>319.8</v>
      </c>
      <c r="G128" s="12">
        <v>59.6</v>
      </c>
      <c r="H128" s="12">
        <v>110.5</v>
      </c>
      <c r="I128" s="12">
        <v>576.70000000000005</v>
      </c>
      <c r="J128" s="13">
        <v>0.88</v>
      </c>
      <c r="K128" s="13">
        <v>0.78</v>
      </c>
      <c r="L128" s="13">
        <v>3.35</v>
      </c>
    </row>
    <row r="129" spans="1:12" x14ac:dyDescent="0.3">
      <c r="A129" s="5" t="s">
        <v>165</v>
      </c>
      <c r="B129" s="5" t="s">
        <v>146</v>
      </c>
      <c r="C129" s="5" t="s">
        <v>147</v>
      </c>
      <c r="D129" s="11">
        <v>1</v>
      </c>
      <c r="E129" s="11">
        <v>124</v>
      </c>
      <c r="F129" s="12">
        <v>369.2</v>
      </c>
      <c r="G129" s="12">
        <v>64.099999999999994</v>
      </c>
      <c r="H129" s="12">
        <v>163.1</v>
      </c>
      <c r="I129" s="12">
        <v>693.7</v>
      </c>
      <c r="J129" s="13">
        <v>1.46</v>
      </c>
      <c r="K129" s="13">
        <v>0.84</v>
      </c>
      <c r="L129" s="13">
        <v>3.87</v>
      </c>
    </row>
    <row r="130" spans="1:12" x14ac:dyDescent="0.3">
      <c r="A130" s="5" t="s">
        <v>166</v>
      </c>
      <c r="B130" s="5" t="s">
        <v>146</v>
      </c>
      <c r="C130" s="5" t="s">
        <v>147</v>
      </c>
      <c r="D130" s="11">
        <v>10</v>
      </c>
      <c r="E130" s="11">
        <v>67</v>
      </c>
      <c r="F130" s="12">
        <v>190.5</v>
      </c>
      <c r="G130" s="12">
        <v>33.700000000000003</v>
      </c>
      <c r="H130" s="12">
        <v>74.2</v>
      </c>
      <c r="I130" s="12">
        <v>355.6</v>
      </c>
      <c r="J130" s="13">
        <v>0.56999999999999995</v>
      </c>
      <c r="K130" s="13">
        <v>0.63</v>
      </c>
      <c r="L130" s="13">
        <v>1.71</v>
      </c>
    </row>
    <row r="131" spans="1:12" x14ac:dyDescent="0.3">
      <c r="A131" s="5" t="s">
        <v>167</v>
      </c>
      <c r="B131" s="5" t="s">
        <v>146</v>
      </c>
      <c r="C131" s="5" t="s">
        <v>147</v>
      </c>
      <c r="D131" s="11">
        <v>10</v>
      </c>
      <c r="E131" s="11">
        <v>73</v>
      </c>
      <c r="F131" s="12">
        <v>255.3</v>
      </c>
      <c r="G131" s="12">
        <v>47.7</v>
      </c>
      <c r="H131" s="12">
        <v>96.3</v>
      </c>
      <c r="I131" s="12">
        <v>374.2</v>
      </c>
      <c r="J131" s="13">
        <v>0.82</v>
      </c>
      <c r="K131" s="13">
        <v>0.78</v>
      </c>
      <c r="L131" s="13">
        <v>2</v>
      </c>
    </row>
    <row r="132" spans="1:12" x14ac:dyDescent="0.3">
      <c r="A132" s="5" t="s">
        <v>168</v>
      </c>
      <c r="B132" s="5" t="s">
        <v>146</v>
      </c>
      <c r="C132" s="5" t="s">
        <v>147</v>
      </c>
      <c r="D132" s="11">
        <v>7</v>
      </c>
      <c r="E132" s="11">
        <v>117</v>
      </c>
      <c r="F132" s="12">
        <v>382</v>
      </c>
      <c r="G132" s="12">
        <v>65.599999999999994</v>
      </c>
      <c r="H132" s="12">
        <v>164.6</v>
      </c>
      <c r="I132" s="12">
        <v>589.70000000000005</v>
      </c>
      <c r="J132" s="13">
        <v>1.28</v>
      </c>
      <c r="K132" s="13">
        <v>1.18</v>
      </c>
      <c r="L132" s="13">
        <v>2.95</v>
      </c>
    </row>
    <row r="133" spans="1:12" x14ac:dyDescent="0.3">
      <c r="A133" s="5" t="s">
        <v>169</v>
      </c>
      <c r="B133" s="5" t="s">
        <v>146</v>
      </c>
      <c r="C133" s="5" t="s">
        <v>147</v>
      </c>
      <c r="D133" s="11">
        <v>10</v>
      </c>
      <c r="E133" s="11">
        <v>68</v>
      </c>
      <c r="F133" s="12">
        <v>291.2</v>
      </c>
      <c r="G133" s="12">
        <v>51.1</v>
      </c>
      <c r="H133" s="12">
        <v>116.6</v>
      </c>
      <c r="I133" s="12">
        <v>472.3</v>
      </c>
      <c r="J133" s="13">
        <v>0.64</v>
      </c>
      <c r="K133" s="13">
        <v>0.88</v>
      </c>
      <c r="L133" s="13">
        <v>2.69</v>
      </c>
    </row>
    <row r="134" spans="1:12" x14ac:dyDescent="0.3">
      <c r="A134" s="5" t="s">
        <v>170</v>
      </c>
      <c r="B134" s="5" t="s">
        <v>146</v>
      </c>
      <c r="C134" s="5" t="s">
        <v>147</v>
      </c>
      <c r="D134" s="11">
        <v>3</v>
      </c>
      <c r="E134" s="11">
        <v>100</v>
      </c>
      <c r="F134" s="12">
        <v>396.2</v>
      </c>
      <c r="G134" s="12">
        <v>73.2</v>
      </c>
      <c r="H134" s="12">
        <v>118.8</v>
      </c>
      <c r="I134" s="12">
        <v>624.1</v>
      </c>
      <c r="J134" s="13">
        <v>1.52</v>
      </c>
      <c r="K134" s="13">
        <v>0.87</v>
      </c>
      <c r="L134" s="13">
        <v>3</v>
      </c>
    </row>
    <row r="135" spans="1:12" x14ac:dyDescent="0.3">
      <c r="A135" s="5" t="s">
        <v>171</v>
      </c>
      <c r="B135" s="5" t="s">
        <v>146</v>
      </c>
      <c r="C135" s="5" t="s">
        <v>147</v>
      </c>
      <c r="D135" s="11">
        <v>6</v>
      </c>
      <c r="E135" s="11">
        <v>109</v>
      </c>
      <c r="F135" s="12">
        <v>395.9</v>
      </c>
      <c r="G135" s="12">
        <v>76.400000000000006</v>
      </c>
      <c r="H135" s="12">
        <v>150</v>
      </c>
      <c r="I135" s="12">
        <v>753.4</v>
      </c>
      <c r="J135" s="13">
        <v>1.35</v>
      </c>
      <c r="K135" s="13">
        <v>1</v>
      </c>
      <c r="L135" s="13">
        <v>3.31</v>
      </c>
    </row>
    <row r="136" spans="1:12" x14ac:dyDescent="0.3">
      <c r="A136" s="5" t="s">
        <v>172</v>
      </c>
      <c r="B136" s="5" t="s">
        <v>146</v>
      </c>
      <c r="C136" s="5" t="s">
        <v>147</v>
      </c>
      <c r="D136" s="11">
        <v>5</v>
      </c>
      <c r="E136" s="11">
        <v>84</v>
      </c>
      <c r="F136" s="12">
        <v>278.7</v>
      </c>
      <c r="G136" s="12">
        <v>44.9</v>
      </c>
      <c r="H136" s="12">
        <v>86.9</v>
      </c>
      <c r="I136" s="12">
        <v>509.8</v>
      </c>
      <c r="J136" s="13">
        <v>0.99</v>
      </c>
      <c r="K136" s="13">
        <v>0.76</v>
      </c>
      <c r="L136" s="13">
        <v>2.52</v>
      </c>
    </row>
    <row r="137" spans="1:12" x14ac:dyDescent="0.3">
      <c r="A137" s="5" t="s">
        <v>173</v>
      </c>
      <c r="B137" s="5" t="s">
        <v>146</v>
      </c>
      <c r="C137" s="5" t="s">
        <v>147</v>
      </c>
      <c r="D137" s="11">
        <v>6</v>
      </c>
      <c r="E137" s="11">
        <v>80</v>
      </c>
      <c r="F137" s="12">
        <v>292.60000000000002</v>
      </c>
      <c r="G137" s="12">
        <v>55.1</v>
      </c>
      <c r="H137" s="12">
        <v>119.1</v>
      </c>
      <c r="I137" s="12">
        <v>569.20000000000005</v>
      </c>
      <c r="J137" s="13">
        <v>1.1000000000000001</v>
      </c>
      <c r="K137" s="13">
        <v>0.77</v>
      </c>
      <c r="L137" s="13">
        <v>2.33</v>
      </c>
    </row>
    <row r="138" spans="1:12" x14ac:dyDescent="0.3">
      <c r="A138" s="5" t="s">
        <v>174</v>
      </c>
      <c r="B138" s="5" t="s">
        <v>146</v>
      </c>
      <c r="C138" s="5" t="s">
        <v>147</v>
      </c>
      <c r="D138" s="11">
        <v>3</v>
      </c>
      <c r="E138" s="11">
        <v>54</v>
      </c>
      <c r="F138" s="12">
        <v>212.5</v>
      </c>
      <c r="G138" s="12">
        <v>34.5</v>
      </c>
      <c r="H138" s="12">
        <v>84.6</v>
      </c>
      <c r="I138" s="12">
        <v>408.9</v>
      </c>
      <c r="J138" s="13">
        <v>0.68</v>
      </c>
      <c r="K138" s="13">
        <v>0.56000000000000005</v>
      </c>
      <c r="L138" s="13">
        <v>1.82</v>
      </c>
    </row>
    <row r="139" spans="1:12" x14ac:dyDescent="0.3">
      <c r="A139" s="5" t="s">
        <v>175</v>
      </c>
      <c r="B139" s="5" t="s">
        <v>176</v>
      </c>
      <c r="C139" s="5" t="s">
        <v>147</v>
      </c>
      <c r="D139" s="11">
        <v>3</v>
      </c>
      <c r="E139" s="11">
        <v>119</v>
      </c>
      <c r="F139" s="12">
        <v>453.3</v>
      </c>
      <c r="G139" s="12">
        <v>82</v>
      </c>
      <c r="H139" s="12">
        <v>129.69999999999999</v>
      </c>
      <c r="I139" s="12">
        <v>726.5</v>
      </c>
      <c r="J139" s="13">
        <v>0.91</v>
      </c>
      <c r="K139" s="13">
        <v>0.96</v>
      </c>
      <c r="L139" s="13">
        <v>3.34</v>
      </c>
    </row>
    <row r="140" spans="1:12" x14ac:dyDescent="0.3">
      <c r="A140" s="5" t="s">
        <v>177</v>
      </c>
      <c r="B140" s="5" t="s">
        <v>176</v>
      </c>
      <c r="C140" s="5" t="s">
        <v>147</v>
      </c>
      <c r="D140" s="11">
        <v>5</v>
      </c>
      <c r="E140" s="11">
        <v>89</v>
      </c>
      <c r="F140" s="12">
        <v>314.7</v>
      </c>
      <c r="G140" s="12">
        <v>54</v>
      </c>
      <c r="H140" s="12">
        <v>86.4</v>
      </c>
      <c r="I140" s="12">
        <v>480.9</v>
      </c>
      <c r="J140" s="13">
        <v>0.44</v>
      </c>
      <c r="K140" s="13">
        <v>0.98</v>
      </c>
      <c r="L140" s="13">
        <v>2.36</v>
      </c>
    </row>
    <row r="141" spans="1:12" x14ac:dyDescent="0.3">
      <c r="A141" s="5" t="s">
        <v>178</v>
      </c>
      <c r="B141" s="5" t="s">
        <v>176</v>
      </c>
      <c r="C141" s="5" t="s">
        <v>147</v>
      </c>
      <c r="D141" s="11">
        <v>8</v>
      </c>
      <c r="E141" s="11">
        <v>78</v>
      </c>
      <c r="F141" s="12">
        <v>304.7</v>
      </c>
      <c r="G141" s="12">
        <v>54.9</v>
      </c>
      <c r="H141" s="12">
        <v>71.400000000000006</v>
      </c>
      <c r="I141" s="12">
        <v>386</v>
      </c>
      <c r="J141" s="13">
        <v>0.44</v>
      </c>
      <c r="K141" s="13">
        <v>0.62</v>
      </c>
      <c r="L141" s="13">
        <v>2.4</v>
      </c>
    </row>
    <row r="142" spans="1:12" x14ac:dyDescent="0.3">
      <c r="A142" s="5" t="s">
        <v>179</v>
      </c>
      <c r="B142" s="5" t="s">
        <v>176</v>
      </c>
      <c r="C142" s="5" t="s">
        <v>147</v>
      </c>
      <c r="D142" s="11">
        <v>3</v>
      </c>
      <c r="E142" s="11">
        <v>100</v>
      </c>
      <c r="F142" s="12">
        <v>392.5</v>
      </c>
      <c r="G142" s="12">
        <v>81.099999999999994</v>
      </c>
      <c r="H142" s="12">
        <v>107.7</v>
      </c>
      <c r="I142" s="12">
        <v>709.8</v>
      </c>
      <c r="J142" s="13">
        <v>0.56999999999999995</v>
      </c>
      <c r="K142" s="13">
        <v>1.17</v>
      </c>
      <c r="L142" s="13">
        <v>3</v>
      </c>
    </row>
    <row r="143" spans="1:12" x14ac:dyDescent="0.3">
      <c r="A143" s="5" t="s">
        <v>180</v>
      </c>
      <c r="B143" s="5" t="s">
        <v>176</v>
      </c>
      <c r="C143" s="5" t="s">
        <v>147</v>
      </c>
      <c r="D143" s="11">
        <v>2</v>
      </c>
      <c r="E143" s="11">
        <v>61</v>
      </c>
      <c r="F143" s="12">
        <v>222.3</v>
      </c>
      <c r="G143" s="12">
        <v>43.9</v>
      </c>
      <c r="H143" s="12">
        <v>38.9</v>
      </c>
      <c r="I143" s="12">
        <v>392.2</v>
      </c>
      <c r="J143" s="13">
        <v>0.32</v>
      </c>
      <c r="K143" s="13">
        <v>0.7</v>
      </c>
      <c r="L143" s="13">
        <v>2.08</v>
      </c>
    </row>
    <row r="144" spans="1:12" x14ac:dyDescent="0.3">
      <c r="A144" s="5" t="s">
        <v>181</v>
      </c>
      <c r="B144" s="5" t="s">
        <v>176</v>
      </c>
      <c r="C144" s="5" t="s">
        <v>147</v>
      </c>
      <c r="D144" s="11">
        <v>4</v>
      </c>
      <c r="E144" s="11">
        <v>52</v>
      </c>
      <c r="F144" s="12">
        <v>164.3</v>
      </c>
      <c r="G144" s="12">
        <v>31.8</v>
      </c>
      <c r="H144" s="12">
        <v>53.7</v>
      </c>
      <c r="I144" s="12">
        <v>332.3</v>
      </c>
      <c r="J144" s="13">
        <v>0.28000000000000003</v>
      </c>
      <c r="K144" s="13">
        <v>0.56999999999999995</v>
      </c>
      <c r="L144" s="13">
        <v>1.38</v>
      </c>
    </row>
    <row r="145" spans="1:12" x14ac:dyDescent="0.3">
      <c r="A145" s="5" t="s">
        <v>182</v>
      </c>
      <c r="B145" s="5" t="s">
        <v>176</v>
      </c>
      <c r="C145" s="5" t="s">
        <v>147</v>
      </c>
      <c r="D145" s="11">
        <v>2</v>
      </c>
      <c r="E145" s="11">
        <v>102</v>
      </c>
      <c r="F145" s="12">
        <v>453.9</v>
      </c>
      <c r="G145" s="12">
        <v>75.8</v>
      </c>
      <c r="H145" s="12">
        <v>93.2</v>
      </c>
      <c r="I145" s="12">
        <v>609.29999999999995</v>
      </c>
      <c r="J145" s="13">
        <v>0.66</v>
      </c>
      <c r="K145" s="13">
        <v>1.26</v>
      </c>
      <c r="L145" s="13">
        <v>3.13</v>
      </c>
    </row>
    <row r="146" spans="1:12" x14ac:dyDescent="0.3">
      <c r="A146" s="5" t="s">
        <v>183</v>
      </c>
      <c r="B146" s="5" t="s">
        <v>176</v>
      </c>
      <c r="C146" s="5" t="s">
        <v>147</v>
      </c>
      <c r="D146" s="11">
        <v>2</v>
      </c>
      <c r="E146" s="11">
        <v>106</v>
      </c>
      <c r="F146" s="12">
        <v>419.6</v>
      </c>
      <c r="G146" s="12">
        <v>78.900000000000006</v>
      </c>
      <c r="H146" s="12">
        <v>66.2</v>
      </c>
      <c r="I146" s="12">
        <v>546.29999999999995</v>
      </c>
      <c r="J146" s="13">
        <v>0.65</v>
      </c>
      <c r="K146" s="13">
        <v>0.92</v>
      </c>
      <c r="L146" s="13">
        <v>2.5499999999999998</v>
      </c>
    </row>
    <row r="147" spans="1:12" x14ac:dyDescent="0.3">
      <c r="A147" s="5" t="s">
        <v>184</v>
      </c>
      <c r="B147" s="5" t="s">
        <v>176</v>
      </c>
      <c r="C147" s="5" t="s">
        <v>147</v>
      </c>
      <c r="D147" s="11">
        <v>3</v>
      </c>
      <c r="E147" s="11">
        <v>60</v>
      </c>
      <c r="F147" s="12">
        <v>261.60000000000002</v>
      </c>
      <c r="G147" s="12">
        <v>43.9</v>
      </c>
      <c r="H147" s="12">
        <v>49.1</v>
      </c>
      <c r="I147" s="12">
        <v>403.4</v>
      </c>
      <c r="J147" s="13">
        <v>0.3</v>
      </c>
      <c r="K147" s="13">
        <v>0.49</v>
      </c>
      <c r="L147" s="13">
        <v>1.65</v>
      </c>
    </row>
    <row r="148" spans="1:12" x14ac:dyDescent="0.3">
      <c r="A148" s="5" t="s">
        <v>185</v>
      </c>
      <c r="B148" s="5" t="s">
        <v>176</v>
      </c>
      <c r="C148" s="5" t="s">
        <v>147</v>
      </c>
      <c r="D148" s="11">
        <v>6</v>
      </c>
      <c r="E148" s="11">
        <v>69</v>
      </c>
      <c r="F148" s="12">
        <v>260</v>
      </c>
      <c r="G148" s="12">
        <v>50.3</v>
      </c>
      <c r="H148" s="12">
        <v>50.8</v>
      </c>
      <c r="I148" s="12">
        <v>375.8</v>
      </c>
      <c r="J148" s="13">
        <v>0.52</v>
      </c>
      <c r="K148" s="13">
        <v>0.56000000000000005</v>
      </c>
      <c r="L148" s="13">
        <v>1.6</v>
      </c>
    </row>
    <row r="149" spans="1:12" x14ac:dyDescent="0.3">
      <c r="A149" s="5" t="s">
        <v>186</v>
      </c>
      <c r="B149" s="5" t="s">
        <v>176</v>
      </c>
      <c r="C149" s="5" t="s">
        <v>147</v>
      </c>
      <c r="D149" s="11">
        <v>2</v>
      </c>
      <c r="E149" s="11">
        <v>106</v>
      </c>
      <c r="F149" s="12">
        <v>363.2</v>
      </c>
      <c r="G149" s="12">
        <v>74.7</v>
      </c>
      <c r="H149" s="12">
        <v>118.7</v>
      </c>
      <c r="I149" s="12">
        <v>767.5</v>
      </c>
      <c r="J149" s="13">
        <v>0.96</v>
      </c>
      <c r="K149" s="13">
        <v>1.1000000000000001</v>
      </c>
      <c r="L149" s="13">
        <v>2.86</v>
      </c>
    </row>
    <row r="150" spans="1:12" x14ac:dyDescent="0.3">
      <c r="A150" s="5" t="s">
        <v>187</v>
      </c>
      <c r="B150" s="5" t="s">
        <v>176</v>
      </c>
      <c r="C150" s="5" t="s">
        <v>147</v>
      </c>
      <c r="D150" s="11">
        <v>6</v>
      </c>
      <c r="E150" s="11">
        <v>72</v>
      </c>
      <c r="F150" s="12">
        <v>245.5</v>
      </c>
      <c r="G150" s="12">
        <v>50.6</v>
      </c>
      <c r="H150" s="12">
        <v>52.6</v>
      </c>
      <c r="I150" s="12">
        <v>471.2</v>
      </c>
      <c r="J150" s="13">
        <v>0.51</v>
      </c>
      <c r="K150" s="13">
        <v>0.79</v>
      </c>
      <c r="L150" s="13">
        <v>2.41</v>
      </c>
    </row>
    <row r="151" spans="1:12" x14ac:dyDescent="0.3">
      <c r="A151" s="5" t="s">
        <v>188</v>
      </c>
      <c r="B151" s="5" t="s">
        <v>176</v>
      </c>
      <c r="C151" s="5" t="s">
        <v>147</v>
      </c>
      <c r="D151" s="11">
        <v>1</v>
      </c>
      <c r="E151" s="11">
        <v>66</v>
      </c>
      <c r="F151" s="12">
        <v>267.89999999999998</v>
      </c>
      <c r="G151" s="12">
        <v>54.8</v>
      </c>
      <c r="H151" s="12">
        <v>42.8</v>
      </c>
      <c r="I151" s="12">
        <v>383.7</v>
      </c>
      <c r="J151" s="13">
        <v>0.4</v>
      </c>
      <c r="K151" s="13">
        <v>0.71</v>
      </c>
      <c r="L151" s="13">
        <v>1.65</v>
      </c>
    </row>
    <row r="152" spans="1:12" x14ac:dyDescent="0.3">
      <c r="A152" s="5" t="s">
        <v>189</v>
      </c>
      <c r="B152" s="5" t="s">
        <v>176</v>
      </c>
      <c r="C152" s="5" t="s">
        <v>147</v>
      </c>
      <c r="D152" s="11">
        <v>8</v>
      </c>
      <c r="E152" s="11">
        <v>90</v>
      </c>
      <c r="F152" s="12">
        <v>380.5</v>
      </c>
      <c r="G152" s="12">
        <v>84.5</v>
      </c>
      <c r="H152" s="12">
        <v>102.3</v>
      </c>
      <c r="I152" s="12">
        <v>597.9</v>
      </c>
      <c r="J152" s="13">
        <v>0.62</v>
      </c>
      <c r="K152" s="13">
        <v>0.84</v>
      </c>
      <c r="L152" s="13">
        <v>2.4900000000000002</v>
      </c>
    </row>
    <row r="153" spans="1:12" x14ac:dyDescent="0.3">
      <c r="A153" s="5" t="s">
        <v>190</v>
      </c>
      <c r="B153" s="5" t="s">
        <v>176</v>
      </c>
      <c r="C153" s="5" t="s">
        <v>147</v>
      </c>
      <c r="D153" s="11">
        <v>1</v>
      </c>
      <c r="E153" s="11">
        <v>107</v>
      </c>
      <c r="F153" s="12">
        <v>484.7</v>
      </c>
      <c r="G153" s="12">
        <v>86.4</v>
      </c>
      <c r="H153" s="12">
        <v>92</v>
      </c>
      <c r="I153" s="12">
        <v>692.8</v>
      </c>
      <c r="J153" s="13">
        <v>0.76</v>
      </c>
      <c r="K153" s="13">
        <v>1.28</v>
      </c>
      <c r="L153" s="13">
        <v>3.01</v>
      </c>
    </row>
    <row r="154" spans="1:12" x14ac:dyDescent="0.3">
      <c r="A154" s="5" t="s">
        <v>191</v>
      </c>
      <c r="B154" s="5" t="s">
        <v>176</v>
      </c>
      <c r="C154" s="5" t="s">
        <v>147</v>
      </c>
      <c r="D154" s="11">
        <v>4</v>
      </c>
      <c r="E154" s="11">
        <v>112</v>
      </c>
      <c r="F154" s="12">
        <v>386.1</v>
      </c>
      <c r="G154" s="12">
        <v>75.900000000000006</v>
      </c>
      <c r="H154" s="12">
        <v>77.3</v>
      </c>
      <c r="I154" s="12">
        <v>665</v>
      </c>
      <c r="J154" s="13">
        <v>0.78</v>
      </c>
      <c r="K154" s="13">
        <v>1.35</v>
      </c>
      <c r="L154" s="13">
        <v>3.55</v>
      </c>
    </row>
    <row r="155" spans="1:12" x14ac:dyDescent="0.3">
      <c r="A155" s="5" t="s">
        <v>192</v>
      </c>
      <c r="B155" s="5" t="s">
        <v>176</v>
      </c>
      <c r="C155" s="5" t="s">
        <v>147</v>
      </c>
      <c r="D155" s="11">
        <v>2</v>
      </c>
      <c r="E155" s="11">
        <v>91</v>
      </c>
      <c r="F155" s="12">
        <v>334.5</v>
      </c>
      <c r="G155" s="12">
        <v>74.3</v>
      </c>
      <c r="H155" s="12">
        <v>114.1</v>
      </c>
      <c r="I155" s="12">
        <v>594.79999999999995</v>
      </c>
      <c r="J155" s="13">
        <v>0.54</v>
      </c>
      <c r="K155" s="13">
        <v>1.0900000000000001</v>
      </c>
      <c r="L155" s="13">
        <v>2.95</v>
      </c>
    </row>
    <row r="156" spans="1:12" x14ac:dyDescent="0.3">
      <c r="A156" s="5" t="s">
        <v>193</v>
      </c>
      <c r="B156" s="5" t="s">
        <v>176</v>
      </c>
      <c r="C156" s="5" t="s">
        <v>147</v>
      </c>
      <c r="D156" s="11">
        <v>8</v>
      </c>
      <c r="E156" s="11">
        <v>126</v>
      </c>
      <c r="F156" s="12">
        <v>405.2</v>
      </c>
      <c r="G156" s="12">
        <v>79.2</v>
      </c>
      <c r="H156" s="12">
        <v>133.80000000000001</v>
      </c>
      <c r="I156" s="12">
        <v>855.2</v>
      </c>
      <c r="J156" s="13">
        <v>0.95</v>
      </c>
      <c r="K156" s="13">
        <v>1.1000000000000001</v>
      </c>
      <c r="L156" s="13">
        <v>3.7</v>
      </c>
    </row>
    <row r="157" spans="1:12" x14ac:dyDescent="0.3">
      <c r="A157" s="5" t="s">
        <v>194</v>
      </c>
      <c r="B157" s="5" t="s">
        <v>176</v>
      </c>
      <c r="C157" s="5" t="s">
        <v>147</v>
      </c>
      <c r="D157" s="11">
        <v>3</v>
      </c>
      <c r="E157" s="11">
        <v>43</v>
      </c>
      <c r="F157" s="12">
        <v>168.7</v>
      </c>
      <c r="G157" s="12">
        <v>30</v>
      </c>
      <c r="H157" s="12">
        <v>44.3</v>
      </c>
      <c r="I157" s="12">
        <v>361.3</v>
      </c>
      <c r="J157" s="13">
        <v>0.41</v>
      </c>
      <c r="K157" s="13">
        <v>0.54</v>
      </c>
      <c r="L157" s="13">
        <v>1.53</v>
      </c>
    </row>
    <row r="158" spans="1:12" x14ac:dyDescent="0.3">
      <c r="A158" s="5" t="s">
        <v>195</v>
      </c>
      <c r="B158" s="5" t="s">
        <v>176</v>
      </c>
      <c r="C158" s="5" t="s">
        <v>147</v>
      </c>
      <c r="D158" s="11">
        <v>1</v>
      </c>
      <c r="E158" s="11">
        <v>92</v>
      </c>
      <c r="F158" s="12">
        <v>411.4</v>
      </c>
      <c r="G158" s="12">
        <v>83.3</v>
      </c>
      <c r="H158" s="12">
        <v>91.3</v>
      </c>
      <c r="I158" s="12">
        <v>626</v>
      </c>
      <c r="J158" s="13">
        <v>0.76</v>
      </c>
      <c r="K158" s="13">
        <v>0.96</v>
      </c>
      <c r="L158" s="13">
        <v>2.75</v>
      </c>
    </row>
    <row r="159" spans="1:12" x14ac:dyDescent="0.3">
      <c r="A159" s="5" t="s">
        <v>196</v>
      </c>
      <c r="B159" s="5" t="s">
        <v>197</v>
      </c>
      <c r="C159" s="5" t="s">
        <v>147</v>
      </c>
      <c r="D159" s="11">
        <v>6</v>
      </c>
      <c r="E159" s="11">
        <v>77</v>
      </c>
      <c r="F159" s="12">
        <v>150.1</v>
      </c>
      <c r="G159" s="12">
        <v>20.100000000000001</v>
      </c>
      <c r="H159" s="12">
        <v>78.8</v>
      </c>
      <c r="I159" s="12">
        <v>302.7</v>
      </c>
      <c r="J159" s="13">
        <v>0.6</v>
      </c>
      <c r="K159" s="13">
        <v>0.4</v>
      </c>
      <c r="L159" s="13">
        <v>2.16</v>
      </c>
    </row>
    <row r="160" spans="1:12" x14ac:dyDescent="0.3">
      <c r="A160" s="5" t="s">
        <v>198</v>
      </c>
      <c r="B160" s="5" t="s">
        <v>197</v>
      </c>
      <c r="C160" s="5" t="s">
        <v>147</v>
      </c>
      <c r="D160" s="11">
        <v>5</v>
      </c>
      <c r="E160" s="11">
        <v>116</v>
      </c>
      <c r="F160" s="12">
        <v>249.9</v>
      </c>
      <c r="G160" s="12">
        <v>39.6</v>
      </c>
      <c r="H160" s="12">
        <v>151.5</v>
      </c>
      <c r="I160" s="12">
        <v>508.3</v>
      </c>
      <c r="J160" s="13">
        <v>0.83</v>
      </c>
      <c r="K160" s="13">
        <v>0.72</v>
      </c>
      <c r="L160" s="13">
        <v>3.53</v>
      </c>
    </row>
    <row r="161" spans="1:12" x14ac:dyDescent="0.3">
      <c r="A161" s="5" t="s">
        <v>199</v>
      </c>
      <c r="B161" s="5" t="s">
        <v>197</v>
      </c>
      <c r="C161" s="5" t="s">
        <v>147</v>
      </c>
      <c r="D161" s="11">
        <v>2</v>
      </c>
      <c r="E161" s="11">
        <v>80</v>
      </c>
      <c r="F161" s="12">
        <v>256.39999999999998</v>
      </c>
      <c r="G161" s="12">
        <v>37.799999999999997</v>
      </c>
      <c r="H161" s="12">
        <v>96.1</v>
      </c>
      <c r="I161" s="12">
        <v>342.5</v>
      </c>
      <c r="J161" s="13">
        <v>0.9</v>
      </c>
      <c r="K161" s="13">
        <v>0.57999999999999996</v>
      </c>
      <c r="L161" s="13">
        <v>2.44</v>
      </c>
    </row>
    <row r="162" spans="1:12" x14ac:dyDescent="0.3">
      <c r="A162" s="5" t="s">
        <v>200</v>
      </c>
      <c r="B162" s="5" t="s">
        <v>197</v>
      </c>
      <c r="C162" s="5" t="s">
        <v>147</v>
      </c>
      <c r="D162" s="11">
        <v>2</v>
      </c>
      <c r="E162" s="11">
        <v>44</v>
      </c>
      <c r="F162" s="12">
        <v>127</v>
      </c>
      <c r="G162" s="12">
        <v>22.1</v>
      </c>
      <c r="H162" s="12">
        <v>75.7</v>
      </c>
      <c r="I162" s="12">
        <v>204.2</v>
      </c>
      <c r="J162" s="13">
        <v>0.6</v>
      </c>
      <c r="K162" s="13">
        <v>0.28999999999999998</v>
      </c>
      <c r="L162" s="13">
        <v>1.39</v>
      </c>
    </row>
    <row r="163" spans="1:12" x14ac:dyDescent="0.3">
      <c r="A163" s="5" t="s">
        <v>201</v>
      </c>
      <c r="B163" s="5" t="s">
        <v>197</v>
      </c>
      <c r="C163" s="5" t="s">
        <v>147</v>
      </c>
      <c r="D163" s="11">
        <v>5</v>
      </c>
      <c r="E163" s="11">
        <v>90</v>
      </c>
      <c r="F163" s="12">
        <v>226.9</v>
      </c>
      <c r="G163" s="12">
        <v>29.6</v>
      </c>
      <c r="H163" s="12">
        <v>91.1</v>
      </c>
      <c r="I163" s="12">
        <v>390.5</v>
      </c>
      <c r="J163" s="13">
        <v>0.72</v>
      </c>
      <c r="K163" s="13">
        <v>0.45</v>
      </c>
      <c r="L163" s="13">
        <v>2.63</v>
      </c>
    </row>
    <row r="164" spans="1:12" x14ac:dyDescent="0.3">
      <c r="A164" s="5" t="s">
        <v>202</v>
      </c>
      <c r="B164" s="5" t="s">
        <v>197</v>
      </c>
      <c r="C164" s="5" t="s">
        <v>147</v>
      </c>
      <c r="D164" s="11">
        <v>5</v>
      </c>
      <c r="E164" s="11">
        <v>93</v>
      </c>
      <c r="F164" s="12">
        <v>289.8</v>
      </c>
      <c r="G164" s="12">
        <v>43.8</v>
      </c>
      <c r="H164" s="12">
        <v>104.7</v>
      </c>
      <c r="I164" s="12">
        <v>466.4</v>
      </c>
      <c r="J164" s="13">
        <v>1.22</v>
      </c>
      <c r="K164" s="13">
        <v>0.68</v>
      </c>
      <c r="L164" s="13">
        <v>3.59</v>
      </c>
    </row>
    <row r="165" spans="1:12" x14ac:dyDescent="0.3">
      <c r="A165" s="5" t="s">
        <v>203</v>
      </c>
      <c r="B165" s="5" t="s">
        <v>197</v>
      </c>
      <c r="C165" s="5" t="s">
        <v>147</v>
      </c>
      <c r="D165" s="11">
        <v>3</v>
      </c>
      <c r="E165" s="11">
        <v>51</v>
      </c>
      <c r="F165" s="12">
        <v>145.30000000000001</v>
      </c>
      <c r="G165" s="12">
        <v>19.2</v>
      </c>
      <c r="H165" s="12">
        <v>68.5</v>
      </c>
      <c r="I165" s="12">
        <v>226.1</v>
      </c>
      <c r="J165" s="13">
        <v>0.56999999999999995</v>
      </c>
      <c r="K165" s="13">
        <v>0.38</v>
      </c>
      <c r="L165" s="13">
        <v>1.65</v>
      </c>
    </row>
    <row r="166" spans="1:12" x14ac:dyDescent="0.3">
      <c r="A166" s="5" t="s">
        <v>204</v>
      </c>
      <c r="B166" s="5" t="s">
        <v>197</v>
      </c>
      <c r="C166" s="5" t="s">
        <v>147</v>
      </c>
      <c r="D166" s="11">
        <v>2</v>
      </c>
      <c r="E166" s="11">
        <v>80</v>
      </c>
      <c r="F166" s="12">
        <v>196.3</v>
      </c>
      <c r="G166" s="12">
        <v>28.8</v>
      </c>
      <c r="H166" s="12">
        <v>84.3</v>
      </c>
      <c r="I166" s="12">
        <v>406.2</v>
      </c>
      <c r="J166" s="13">
        <v>1.03</v>
      </c>
      <c r="K166" s="13">
        <v>0.49</v>
      </c>
      <c r="L166" s="13">
        <v>2.48</v>
      </c>
    </row>
    <row r="167" spans="1:12" x14ac:dyDescent="0.3">
      <c r="A167" s="5" t="s">
        <v>205</v>
      </c>
      <c r="B167" s="5" t="s">
        <v>197</v>
      </c>
      <c r="C167" s="5" t="s">
        <v>147</v>
      </c>
      <c r="D167" s="11">
        <v>4</v>
      </c>
      <c r="E167" s="11">
        <v>63</v>
      </c>
      <c r="F167" s="12">
        <v>123.9</v>
      </c>
      <c r="G167" s="12">
        <v>21.5</v>
      </c>
      <c r="H167" s="12">
        <v>60.8</v>
      </c>
      <c r="I167" s="12">
        <v>228.4</v>
      </c>
      <c r="J167" s="13">
        <v>0.69</v>
      </c>
      <c r="K167" s="13">
        <v>0.4</v>
      </c>
      <c r="L167" s="13">
        <v>1.63</v>
      </c>
    </row>
    <row r="168" spans="1:12" x14ac:dyDescent="0.3">
      <c r="A168" s="5" t="s">
        <v>206</v>
      </c>
      <c r="B168" s="5" t="s">
        <v>197</v>
      </c>
      <c r="C168" s="5" t="s">
        <v>147</v>
      </c>
      <c r="D168" s="11">
        <v>7</v>
      </c>
      <c r="E168" s="11">
        <v>63</v>
      </c>
      <c r="F168" s="12">
        <v>129.80000000000001</v>
      </c>
      <c r="G168" s="12">
        <v>20.100000000000001</v>
      </c>
      <c r="H168" s="12">
        <v>91.4</v>
      </c>
      <c r="I168" s="12">
        <v>207.7</v>
      </c>
      <c r="J168" s="13">
        <v>0.44</v>
      </c>
      <c r="K168" s="13">
        <v>0.37</v>
      </c>
      <c r="L168" s="13">
        <v>1.8</v>
      </c>
    </row>
    <row r="169" spans="1:12" x14ac:dyDescent="0.3">
      <c r="A169" s="5" t="s">
        <v>207</v>
      </c>
      <c r="B169" s="5" t="s">
        <v>197</v>
      </c>
      <c r="C169" s="5" t="s">
        <v>147</v>
      </c>
      <c r="D169" s="11">
        <v>3</v>
      </c>
      <c r="E169" s="11">
        <v>49</v>
      </c>
      <c r="F169" s="12">
        <v>115.3</v>
      </c>
      <c r="G169" s="12">
        <v>15.5</v>
      </c>
      <c r="H169" s="12">
        <v>79.5</v>
      </c>
      <c r="I169" s="12">
        <v>197.5</v>
      </c>
      <c r="J169" s="13">
        <v>0.63</v>
      </c>
      <c r="K169" s="13">
        <v>0.37</v>
      </c>
      <c r="L169" s="13">
        <v>1.71</v>
      </c>
    </row>
    <row r="170" spans="1:12" x14ac:dyDescent="0.3">
      <c r="A170" s="5" t="s">
        <v>208</v>
      </c>
      <c r="B170" s="5" t="s">
        <v>197</v>
      </c>
      <c r="C170" s="5" t="s">
        <v>147</v>
      </c>
      <c r="D170" s="11">
        <v>5</v>
      </c>
      <c r="E170" s="11">
        <v>99</v>
      </c>
      <c r="F170" s="12">
        <v>298.8</v>
      </c>
      <c r="G170" s="12">
        <v>51.3</v>
      </c>
      <c r="H170" s="12">
        <v>151.80000000000001</v>
      </c>
      <c r="I170" s="12">
        <v>460.4</v>
      </c>
      <c r="J170" s="13">
        <v>0.77</v>
      </c>
      <c r="K170" s="13">
        <v>0.79</v>
      </c>
      <c r="L170" s="13">
        <v>3.19</v>
      </c>
    </row>
    <row r="171" spans="1:12" x14ac:dyDescent="0.3">
      <c r="A171" s="5" t="s">
        <v>209</v>
      </c>
      <c r="B171" s="5" t="s">
        <v>197</v>
      </c>
      <c r="C171" s="5" t="s">
        <v>147</v>
      </c>
      <c r="D171" s="11">
        <v>3</v>
      </c>
      <c r="E171" s="11">
        <v>121</v>
      </c>
      <c r="F171" s="12">
        <v>280.39999999999998</v>
      </c>
      <c r="G171" s="12">
        <v>40.299999999999997</v>
      </c>
      <c r="H171" s="12">
        <v>167.4</v>
      </c>
      <c r="I171" s="12">
        <v>435</v>
      </c>
      <c r="J171" s="13">
        <v>1.23</v>
      </c>
      <c r="K171" s="13">
        <v>0.72</v>
      </c>
      <c r="L171" s="13">
        <v>3.72</v>
      </c>
    </row>
    <row r="172" spans="1:12" x14ac:dyDescent="0.3">
      <c r="A172" s="5" t="s">
        <v>210</v>
      </c>
      <c r="B172" s="5" t="s">
        <v>197</v>
      </c>
      <c r="C172" s="5" t="s">
        <v>147</v>
      </c>
      <c r="D172" s="11">
        <v>2</v>
      </c>
      <c r="E172" s="11">
        <v>53</v>
      </c>
      <c r="F172" s="12">
        <v>146</v>
      </c>
      <c r="G172" s="12">
        <v>23</v>
      </c>
      <c r="H172" s="12">
        <v>70.3</v>
      </c>
      <c r="I172" s="12">
        <v>203.4</v>
      </c>
      <c r="J172" s="13">
        <v>0.54</v>
      </c>
      <c r="K172" s="13">
        <v>0.33</v>
      </c>
      <c r="L172" s="13">
        <v>1.36</v>
      </c>
    </row>
    <row r="173" spans="1:12" x14ac:dyDescent="0.3">
      <c r="A173" s="5" t="s">
        <v>211</v>
      </c>
      <c r="B173" s="5" t="s">
        <v>197</v>
      </c>
      <c r="C173" s="5" t="s">
        <v>147</v>
      </c>
      <c r="D173" s="11">
        <v>6</v>
      </c>
      <c r="E173" s="11">
        <v>92</v>
      </c>
      <c r="F173" s="12">
        <v>273.8</v>
      </c>
      <c r="G173" s="12">
        <v>40.200000000000003</v>
      </c>
      <c r="H173" s="12">
        <v>104.9</v>
      </c>
      <c r="I173" s="12">
        <v>427.2</v>
      </c>
      <c r="J173" s="13">
        <v>0.72</v>
      </c>
      <c r="K173" s="13">
        <v>0.73</v>
      </c>
      <c r="L173" s="13">
        <v>3.08</v>
      </c>
    </row>
    <row r="174" spans="1:12" x14ac:dyDescent="0.3">
      <c r="A174" s="5" t="s">
        <v>212</v>
      </c>
      <c r="B174" s="5" t="s">
        <v>197</v>
      </c>
      <c r="C174" s="5" t="s">
        <v>147</v>
      </c>
      <c r="D174" s="11">
        <v>8</v>
      </c>
      <c r="E174" s="11">
        <v>76</v>
      </c>
      <c r="F174" s="12">
        <v>188.5</v>
      </c>
      <c r="G174" s="12">
        <v>26.6</v>
      </c>
      <c r="H174" s="12">
        <v>89.4</v>
      </c>
      <c r="I174" s="12">
        <v>303.89999999999998</v>
      </c>
      <c r="J174" s="13">
        <v>0.74</v>
      </c>
      <c r="K174" s="13">
        <v>0.59</v>
      </c>
      <c r="L174" s="13">
        <v>2.5299999999999998</v>
      </c>
    </row>
    <row r="175" spans="1:12" x14ac:dyDescent="0.3">
      <c r="A175" s="5" t="s">
        <v>213</v>
      </c>
      <c r="B175" s="5" t="s">
        <v>197</v>
      </c>
      <c r="C175" s="5" t="s">
        <v>147</v>
      </c>
      <c r="D175" s="11">
        <v>7</v>
      </c>
      <c r="E175" s="11">
        <v>64</v>
      </c>
      <c r="F175" s="12">
        <v>145.9</v>
      </c>
      <c r="G175" s="12">
        <v>18.899999999999999</v>
      </c>
      <c r="H175" s="12">
        <v>92.2</v>
      </c>
      <c r="I175" s="12">
        <v>255.7</v>
      </c>
      <c r="J175" s="13">
        <v>0.49</v>
      </c>
      <c r="K175" s="13">
        <v>0.36</v>
      </c>
      <c r="L175" s="13">
        <v>1.96</v>
      </c>
    </row>
    <row r="176" spans="1:12" x14ac:dyDescent="0.3">
      <c r="A176" s="5" t="s">
        <v>214</v>
      </c>
      <c r="B176" s="5" t="s">
        <v>197</v>
      </c>
      <c r="C176" s="5" t="s">
        <v>147</v>
      </c>
      <c r="D176" s="11">
        <v>1</v>
      </c>
      <c r="E176" s="11">
        <v>76</v>
      </c>
      <c r="F176" s="12">
        <v>169.8</v>
      </c>
      <c r="G176" s="12">
        <v>22.1</v>
      </c>
      <c r="H176" s="12">
        <v>88.6</v>
      </c>
      <c r="I176" s="12">
        <v>267.2</v>
      </c>
      <c r="J176" s="13">
        <v>0.8</v>
      </c>
      <c r="K176" s="13">
        <v>0.39</v>
      </c>
      <c r="L176" s="13">
        <v>2.0299999999999998</v>
      </c>
    </row>
    <row r="177" spans="1:12" x14ac:dyDescent="0.3">
      <c r="A177" s="5" t="s">
        <v>215</v>
      </c>
      <c r="B177" s="5" t="s">
        <v>216</v>
      </c>
      <c r="C177" s="5" t="s">
        <v>147</v>
      </c>
      <c r="D177" s="11">
        <v>1</v>
      </c>
      <c r="E177" s="11">
        <v>115</v>
      </c>
      <c r="F177" s="12">
        <v>249.9</v>
      </c>
      <c r="G177" s="12">
        <v>36.799999999999997</v>
      </c>
      <c r="H177" s="12">
        <v>129.9</v>
      </c>
      <c r="I177" s="12">
        <v>380.4</v>
      </c>
      <c r="J177" s="13">
        <v>1.17</v>
      </c>
      <c r="K177" s="13">
        <v>0.7</v>
      </c>
      <c r="L177" s="13">
        <v>3.55</v>
      </c>
    </row>
    <row r="178" spans="1:12" x14ac:dyDescent="0.3">
      <c r="A178" s="5" t="s">
        <v>217</v>
      </c>
      <c r="B178" s="5" t="s">
        <v>216</v>
      </c>
      <c r="C178" s="5" t="s">
        <v>147</v>
      </c>
      <c r="D178" s="11">
        <v>1</v>
      </c>
      <c r="E178" s="11">
        <v>87</v>
      </c>
      <c r="F178" s="12">
        <v>207.6</v>
      </c>
      <c r="G178" s="12">
        <v>30.4</v>
      </c>
      <c r="H178" s="12">
        <v>80.599999999999994</v>
      </c>
      <c r="I178" s="12">
        <v>282.89999999999998</v>
      </c>
      <c r="J178" s="13">
        <v>0.77</v>
      </c>
      <c r="K178" s="13">
        <v>0.5</v>
      </c>
      <c r="L178" s="13">
        <v>2.5099999999999998</v>
      </c>
    </row>
    <row r="179" spans="1:12" x14ac:dyDescent="0.3">
      <c r="A179" s="5" t="s">
        <v>218</v>
      </c>
      <c r="B179" s="5" t="s">
        <v>216</v>
      </c>
      <c r="C179" s="5" t="s">
        <v>147</v>
      </c>
      <c r="D179" s="11">
        <v>3</v>
      </c>
      <c r="E179" s="11">
        <v>92</v>
      </c>
      <c r="F179" s="12">
        <v>222.4</v>
      </c>
      <c r="G179" s="12">
        <v>33</v>
      </c>
      <c r="H179" s="12">
        <v>78.8</v>
      </c>
      <c r="I179" s="12">
        <v>277.7</v>
      </c>
      <c r="J179" s="13">
        <v>0.9</v>
      </c>
      <c r="K179" s="13">
        <v>0.52</v>
      </c>
      <c r="L179" s="13">
        <v>2.89</v>
      </c>
    </row>
    <row r="180" spans="1:12" x14ac:dyDescent="0.3">
      <c r="A180" s="5" t="s">
        <v>219</v>
      </c>
      <c r="B180" s="5" t="s">
        <v>216</v>
      </c>
      <c r="C180" s="5" t="s">
        <v>147</v>
      </c>
      <c r="D180" s="11">
        <v>1</v>
      </c>
      <c r="E180" s="11">
        <v>64</v>
      </c>
      <c r="F180" s="12">
        <v>180.6</v>
      </c>
      <c r="G180" s="12">
        <v>28.3</v>
      </c>
      <c r="H180" s="12">
        <v>72.5</v>
      </c>
      <c r="I180" s="12">
        <v>241</v>
      </c>
      <c r="J180" s="13">
        <v>0.66</v>
      </c>
      <c r="K180" s="13">
        <v>0.53</v>
      </c>
      <c r="L180" s="13">
        <v>2.39</v>
      </c>
    </row>
    <row r="181" spans="1:12" x14ac:dyDescent="0.3">
      <c r="A181" s="5" t="s">
        <v>220</v>
      </c>
      <c r="B181" s="5" t="s">
        <v>216</v>
      </c>
      <c r="C181" s="5" t="s">
        <v>147</v>
      </c>
      <c r="D181" s="11">
        <v>8</v>
      </c>
      <c r="E181" s="11">
        <v>92</v>
      </c>
      <c r="F181" s="12">
        <v>237.6</v>
      </c>
      <c r="G181" s="12">
        <v>31.6</v>
      </c>
      <c r="H181" s="12">
        <v>100.7</v>
      </c>
      <c r="I181" s="12">
        <v>386.1</v>
      </c>
      <c r="J181" s="13">
        <v>0.72</v>
      </c>
      <c r="K181" s="13">
        <v>0.66</v>
      </c>
      <c r="L181" s="13">
        <v>3.37</v>
      </c>
    </row>
    <row r="182" spans="1:12" x14ac:dyDescent="0.3">
      <c r="A182" s="5" t="s">
        <v>221</v>
      </c>
      <c r="B182" s="5" t="s">
        <v>216</v>
      </c>
      <c r="C182" s="5" t="s">
        <v>147</v>
      </c>
      <c r="D182" s="11">
        <v>3</v>
      </c>
      <c r="E182" s="11">
        <v>114</v>
      </c>
      <c r="F182" s="12">
        <v>211.1</v>
      </c>
      <c r="G182" s="12">
        <v>33.4</v>
      </c>
      <c r="H182" s="12">
        <v>145.4</v>
      </c>
      <c r="I182" s="12">
        <v>361.9</v>
      </c>
      <c r="J182" s="13">
        <v>1.1599999999999999</v>
      </c>
      <c r="K182" s="13">
        <v>0.59</v>
      </c>
      <c r="L182" s="13">
        <v>2.89</v>
      </c>
    </row>
    <row r="183" spans="1:12" x14ac:dyDescent="0.3">
      <c r="A183" s="5" t="s">
        <v>222</v>
      </c>
      <c r="B183" s="5" t="s">
        <v>216</v>
      </c>
      <c r="C183" s="5" t="s">
        <v>147</v>
      </c>
      <c r="D183" s="11">
        <v>2</v>
      </c>
      <c r="E183" s="11">
        <v>89</v>
      </c>
      <c r="F183" s="12">
        <v>200.6</v>
      </c>
      <c r="G183" s="12">
        <v>28.2</v>
      </c>
      <c r="H183" s="12">
        <v>115.6</v>
      </c>
      <c r="I183" s="12">
        <v>297.8</v>
      </c>
      <c r="J183" s="13">
        <v>0.61</v>
      </c>
      <c r="K183" s="13">
        <v>0.51</v>
      </c>
      <c r="L183" s="13">
        <v>3.15</v>
      </c>
    </row>
    <row r="184" spans="1:12" x14ac:dyDescent="0.3">
      <c r="A184" s="5" t="s">
        <v>223</v>
      </c>
      <c r="B184" s="5" t="s">
        <v>216</v>
      </c>
      <c r="C184" s="5" t="s">
        <v>147</v>
      </c>
      <c r="D184" s="11">
        <v>3</v>
      </c>
      <c r="E184" s="11">
        <v>100</v>
      </c>
      <c r="F184" s="12">
        <v>248.3</v>
      </c>
      <c r="G184" s="12">
        <v>36.700000000000003</v>
      </c>
      <c r="H184" s="12">
        <v>140.9</v>
      </c>
      <c r="I184" s="12">
        <v>393.6</v>
      </c>
      <c r="J184" s="13">
        <v>1.03</v>
      </c>
      <c r="K184" s="13">
        <v>0.73</v>
      </c>
      <c r="L184" s="13">
        <v>2.84</v>
      </c>
    </row>
    <row r="185" spans="1:12" x14ac:dyDescent="0.3">
      <c r="A185" s="5" t="s">
        <v>224</v>
      </c>
      <c r="B185" s="5" t="s">
        <v>216</v>
      </c>
      <c r="C185" s="5" t="s">
        <v>147</v>
      </c>
      <c r="D185" s="11">
        <v>8</v>
      </c>
      <c r="E185" s="11">
        <v>95</v>
      </c>
      <c r="F185" s="12">
        <v>226.2</v>
      </c>
      <c r="G185" s="12">
        <v>29.2</v>
      </c>
      <c r="H185" s="12">
        <v>104</v>
      </c>
      <c r="I185" s="12">
        <v>408.6</v>
      </c>
      <c r="J185" s="13">
        <v>0.92</v>
      </c>
      <c r="K185" s="13">
        <v>0.64</v>
      </c>
      <c r="L185" s="13">
        <v>3.5</v>
      </c>
    </row>
    <row r="186" spans="1:12" x14ac:dyDescent="0.3">
      <c r="A186" s="5" t="s">
        <v>225</v>
      </c>
      <c r="B186" s="5" t="s">
        <v>216</v>
      </c>
      <c r="C186" s="5" t="s">
        <v>147</v>
      </c>
      <c r="D186" s="11">
        <v>2</v>
      </c>
      <c r="E186" s="11">
        <v>114</v>
      </c>
      <c r="F186" s="12">
        <v>225</v>
      </c>
      <c r="G186" s="12">
        <v>32.5</v>
      </c>
      <c r="H186" s="12">
        <v>177.2</v>
      </c>
      <c r="I186" s="12">
        <v>382.6</v>
      </c>
      <c r="J186" s="13">
        <v>1.25</v>
      </c>
      <c r="K186" s="13">
        <v>0.62</v>
      </c>
      <c r="L186" s="13">
        <v>3.98</v>
      </c>
    </row>
    <row r="187" spans="1:12" x14ac:dyDescent="0.3">
      <c r="A187" s="5" t="s">
        <v>226</v>
      </c>
      <c r="B187" s="5" t="s">
        <v>216</v>
      </c>
      <c r="C187" s="5" t="s">
        <v>147</v>
      </c>
      <c r="D187" s="11">
        <v>10</v>
      </c>
      <c r="E187" s="11">
        <v>45</v>
      </c>
      <c r="F187" s="12">
        <v>134.6</v>
      </c>
      <c r="G187" s="12">
        <v>17.100000000000001</v>
      </c>
      <c r="H187" s="12">
        <v>73.5</v>
      </c>
      <c r="I187" s="12">
        <v>206.2</v>
      </c>
      <c r="J187" s="13">
        <v>0.37</v>
      </c>
      <c r="K187" s="13">
        <v>0.27</v>
      </c>
      <c r="L187" s="13">
        <v>1.62</v>
      </c>
    </row>
    <row r="188" spans="1:12" x14ac:dyDescent="0.3">
      <c r="A188" s="5" t="s">
        <v>227</v>
      </c>
      <c r="B188" s="5" t="s">
        <v>216</v>
      </c>
      <c r="C188" s="5" t="s">
        <v>147</v>
      </c>
      <c r="D188" s="11">
        <v>5</v>
      </c>
      <c r="E188" s="11">
        <v>67</v>
      </c>
      <c r="F188" s="12">
        <v>130.6</v>
      </c>
      <c r="G188" s="12">
        <v>18.7</v>
      </c>
      <c r="H188" s="12">
        <v>69.400000000000006</v>
      </c>
      <c r="I188" s="12">
        <v>219.3</v>
      </c>
      <c r="J188" s="13">
        <v>0.49</v>
      </c>
      <c r="K188" s="13">
        <v>0.32</v>
      </c>
      <c r="L188" s="13">
        <v>1.61</v>
      </c>
    </row>
    <row r="189" spans="1:12" x14ac:dyDescent="0.3">
      <c r="A189" s="5" t="s">
        <v>228</v>
      </c>
      <c r="B189" s="5" t="s">
        <v>216</v>
      </c>
      <c r="C189" s="5" t="s">
        <v>147</v>
      </c>
      <c r="D189" s="11">
        <v>1</v>
      </c>
      <c r="E189" s="11">
        <v>113</v>
      </c>
      <c r="F189" s="12">
        <v>266.5</v>
      </c>
      <c r="G189" s="12">
        <v>35.4</v>
      </c>
      <c r="H189" s="12">
        <v>90.5</v>
      </c>
      <c r="I189" s="12">
        <v>444.2</v>
      </c>
      <c r="J189" s="13">
        <v>0.71</v>
      </c>
      <c r="K189" s="13">
        <v>0.6</v>
      </c>
      <c r="L189" s="13">
        <v>3.72</v>
      </c>
    </row>
    <row r="190" spans="1:12" x14ac:dyDescent="0.3">
      <c r="A190" s="5" t="s">
        <v>229</v>
      </c>
      <c r="B190" s="5" t="s">
        <v>216</v>
      </c>
      <c r="C190" s="5" t="s">
        <v>147</v>
      </c>
      <c r="D190" s="11">
        <v>1</v>
      </c>
      <c r="E190" s="11">
        <v>73</v>
      </c>
      <c r="F190" s="12">
        <v>152.1</v>
      </c>
      <c r="G190" s="12">
        <v>24.8</v>
      </c>
      <c r="H190" s="12">
        <v>96.8</v>
      </c>
      <c r="I190" s="12">
        <v>253.1</v>
      </c>
      <c r="J190" s="13">
        <v>0.53</v>
      </c>
      <c r="K190" s="13">
        <v>0.44</v>
      </c>
      <c r="L190" s="13">
        <v>1.77</v>
      </c>
    </row>
    <row r="191" spans="1:12" x14ac:dyDescent="0.3">
      <c r="A191" s="5" t="s">
        <v>230</v>
      </c>
      <c r="B191" s="5" t="s">
        <v>231</v>
      </c>
      <c r="C191" s="5" t="s">
        <v>232</v>
      </c>
      <c r="D191" s="11">
        <v>3</v>
      </c>
      <c r="E191" s="11">
        <v>84</v>
      </c>
      <c r="F191" s="12">
        <v>177.4</v>
      </c>
      <c r="G191" s="12">
        <v>30.2</v>
      </c>
      <c r="H191" s="12">
        <v>84.1</v>
      </c>
      <c r="I191" s="12">
        <v>360</v>
      </c>
      <c r="J191" s="13">
        <v>0.46</v>
      </c>
      <c r="K191" s="13">
        <v>0.56000000000000005</v>
      </c>
      <c r="L191" s="13">
        <v>2.1</v>
      </c>
    </row>
    <row r="192" spans="1:12" x14ac:dyDescent="0.3">
      <c r="A192" s="5" t="s">
        <v>233</v>
      </c>
      <c r="B192" s="5" t="s">
        <v>231</v>
      </c>
      <c r="C192" s="5" t="s">
        <v>232</v>
      </c>
      <c r="D192" s="11">
        <v>5</v>
      </c>
      <c r="E192" s="11">
        <v>87</v>
      </c>
      <c r="F192" s="12">
        <v>260.39999999999998</v>
      </c>
      <c r="G192" s="12">
        <v>33.9</v>
      </c>
      <c r="H192" s="12">
        <v>119</v>
      </c>
      <c r="I192" s="12">
        <v>369.3</v>
      </c>
      <c r="J192" s="13">
        <v>0.76</v>
      </c>
      <c r="K192" s="13">
        <v>0.7</v>
      </c>
      <c r="L192" s="13">
        <v>2.71</v>
      </c>
    </row>
    <row r="193" spans="1:12" x14ac:dyDescent="0.3">
      <c r="A193" s="5" t="s">
        <v>234</v>
      </c>
      <c r="B193" s="5" t="s">
        <v>231</v>
      </c>
      <c r="C193" s="5" t="s">
        <v>232</v>
      </c>
      <c r="D193" s="11">
        <v>10</v>
      </c>
      <c r="E193" s="11">
        <v>76</v>
      </c>
      <c r="F193" s="12">
        <v>187.6</v>
      </c>
      <c r="G193" s="12">
        <v>27.8</v>
      </c>
      <c r="H193" s="12">
        <v>91</v>
      </c>
      <c r="I193" s="12">
        <v>239.1</v>
      </c>
      <c r="J193" s="13">
        <v>0.39</v>
      </c>
      <c r="K193" s="13">
        <v>0.46</v>
      </c>
      <c r="L193" s="13">
        <v>2.44</v>
      </c>
    </row>
    <row r="194" spans="1:12" x14ac:dyDescent="0.3">
      <c r="A194" s="5" t="s">
        <v>235</v>
      </c>
      <c r="B194" s="5" t="s">
        <v>231</v>
      </c>
      <c r="C194" s="5" t="s">
        <v>232</v>
      </c>
      <c r="D194" s="11">
        <v>3</v>
      </c>
      <c r="E194" s="11">
        <v>118</v>
      </c>
      <c r="F194" s="12">
        <v>235.2</v>
      </c>
      <c r="G194" s="12">
        <v>31</v>
      </c>
      <c r="H194" s="12">
        <v>83.1</v>
      </c>
      <c r="I194" s="12">
        <v>401.7</v>
      </c>
      <c r="J194" s="13">
        <v>0.8</v>
      </c>
      <c r="K194" s="13">
        <v>0.73</v>
      </c>
      <c r="L194" s="13">
        <v>2.97</v>
      </c>
    </row>
    <row r="195" spans="1:12" x14ac:dyDescent="0.3">
      <c r="A195" s="5" t="s">
        <v>236</v>
      </c>
      <c r="B195" s="5" t="s">
        <v>231</v>
      </c>
      <c r="C195" s="5" t="s">
        <v>232</v>
      </c>
      <c r="D195" s="11">
        <v>2</v>
      </c>
      <c r="E195" s="11">
        <v>98</v>
      </c>
      <c r="F195" s="12">
        <v>187</v>
      </c>
      <c r="G195" s="12">
        <v>25.6</v>
      </c>
      <c r="H195" s="12">
        <v>82.8</v>
      </c>
      <c r="I195" s="12">
        <v>403</v>
      </c>
      <c r="J195" s="13">
        <v>0.5</v>
      </c>
      <c r="K195" s="13">
        <v>0.6</v>
      </c>
      <c r="L195" s="13">
        <v>3.04</v>
      </c>
    </row>
    <row r="196" spans="1:12" x14ac:dyDescent="0.3">
      <c r="A196" s="5" t="s">
        <v>237</v>
      </c>
      <c r="B196" s="5" t="s">
        <v>231</v>
      </c>
      <c r="C196" s="5" t="s">
        <v>232</v>
      </c>
      <c r="D196" s="11">
        <v>10</v>
      </c>
      <c r="E196" s="11">
        <v>64</v>
      </c>
      <c r="F196" s="12">
        <v>140.4</v>
      </c>
      <c r="G196" s="12">
        <v>21.3</v>
      </c>
      <c r="H196" s="12">
        <v>72.400000000000006</v>
      </c>
      <c r="I196" s="12">
        <v>249.5</v>
      </c>
      <c r="J196" s="13">
        <v>0.39</v>
      </c>
      <c r="K196" s="13">
        <v>0.38</v>
      </c>
      <c r="L196" s="13">
        <v>1.65</v>
      </c>
    </row>
    <row r="197" spans="1:12" x14ac:dyDescent="0.3">
      <c r="A197" s="5" t="s">
        <v>238</v>
      </c>
      <c r="B197" s="5" t="s">
        <v>231</v>
      </c>
      <c r="C197" s="5" t="s">
        <v>232</v>
      </c>
      <c r="D197" s="11">
        <v>3</v>
      </c>
      <c r="E197" s="11">
        <v>47</v>
      </c>
      <c r="F197" s="12">
        <v>123.1</v>
      </c>
      <c r="G197" s="12">
        <v>17.2</v>
      </c>
      <c r="H197" s="12">
        <v>58.7</v>
      </c>
      <c r="I197" s="12">
        <v>217.2</v>
      </c>
      <c r="J197" s="13">
        <v>0.46</v>
      </c>
      <c r="K197" s="13">
        <v>0.34</v>
      </c>
      <c r="L197" s="13">
        <v>1.76</v>
      </c>
    </row>
    <row r="198" spans="1:12" x14ac:dyDescent="0.3">
      <c r="A198" s="5" t="s">
        <v>239</v>
      </c>
      <c r="B198" s="5" t="s">
        <v>231</v>
      </c>
      <c r="C198" s="5" t="s">
        <v>232</v>
      </c>
      <c r="D198" s="11">
        <v>7</v>
      </c>
      <c r="E198" s="11">
        <v>50</v>
      </c>
      <c r="F198" s="12">
        <v>144</v>
      </c>
      <c r="G198" s="12">
        <v>19.5</v>
      </c>
      <c r="H198" s="12">
        <v>54.3</v>
      </c>
      <c r="I198" s="12">
        <v>198.8</v>
      </c>
      <c r="J198" s="13">
        <v>0.46</v>
      </c>
      <c r="K198" s="13">
        <v>0.27</v>
      </c>
      <c r="L198" s="13">
        <v>1.68</v>
      </c>
    </row>
    <row r="199" spans="1:12" x14ac:dyDescent="0.3">
      <c r="A199" s="5" t="s">
        <v>240</v>
      </c>
      <c r="B199" s="5" t="s">
        <v>231</v>
      </c>
      <c r="C199" s="5" t="s">
        <v>232</v>
      </c>
      <c r="D199" s="11">
        <v>7</v>
      </c>
      <c r="E199" s="11">
        <v>100</v>
      </c>
      <c r="F199" s="12">
        <v>264.89999999999998</v>
      </c>
      <c r="G199" s="12">
        <v>38.6</v>
      </c>
      <c r="H199" s="12">
        <v>145.6</v>
      </c>
      <c r="I199" s="12">
        <v>520.29999999999995</v>
      </c>
      <c r="J199" s="13">
        <v>1.02</v>
      </c>
      <c r="K199" s="13">
        <v>0.81</v>
      </c>
      <c r="L199" s="13">
        <v>3.81</v>
      </c>
    </row>
    <row r="200" spans="1:12" x14ac:dyDescent="0.3">
      <c r="A200" s="5" t="s">
        <v>241</v>
      </c>
      <c r="B200" s="5" t="s">
        <v>231</v>
      </c>
      <c r="C200" s="5" t="s">
        <v>232</v>
      </c>
      <c r="D200" s="11">
        <v>3</v>
      </c>
      <c r="E200" s="11">
        <v>56</v>
      </c>
      <c r="F200" s="12">
        <v>152.69999999999999</v>
      </c>
      <c r="G200" s="12">
        <v>20.2</v>
      </c>
      <c r="H200" s="12">
        <v>62.6</v>
      </c>
      <c r="I200" s="12">
        <v>271.60000000000002</v>
      </c>
      <c r="J200" s="13">
        <v>0.51</v>
      </c>
      <c r="K200" s="13">
        <v>0.34</v>
      </c>
      <c r="L200" s="13">
        <v>1.9</v>
      </c>
    </row>
    <row r="201" spans="1:12" x14ac:dyDescent="0.3">
      <c r="A201" s="5" t="s">
        <v>242</v>
      </c>
      <c r="B201" s="5" t="s">
        <v>231</v>
      </c>
      <c r="C201" s="5" t="s">
        <v>232</v>
      </c>
      <c r="D201" s="11">
        <v>3</v>
      </c>
      <c r="E201" s="11">
        <v>72</v>
      </c>
      <c r="F201" s="12">
        <v>193</v>
      </c>
      <c r="G201" s="12">
        <v>25.1</v>
      </c>
      <c r="H201" s="12">
        <v>81.7</v>
      </c>
      <c r="I201" s="12">
        <v>279.60000000000002</v>
      </c>
      <c r="J201" s="13">
        <v>0.54</v>
      </c>
      <c r="K201" s="13">
        <v>0.45</v>
      </c>
      <c r="L201" s="13">
        <v>2.37</v>
      </c>
    </row>
    <row r="202" spans="1:12" x14ac:dyDescent="0.3">
      <c r="A202" s="5" t="s">
        <v>243</v>
      </c>
      <c r="B202" s="5" t="s">
        <v>231</v>
      </c>
      <c r="C202" s="5" t="s">
        <v>232</v>
      </c>
      <c r="D202" s="11">
        <v>10</v>
      </c>
      <c r="E202" s="11">
        <v>87</v>
      </c>
      <c r="F202" s="12">
        <v>201.3</v>
      </c>
      <c r="G202" s="12">
        <v>26.6</v>
      </c>
      <c r="H202" s="12">
        <v>103</v>
      </c>
      <c r="I202" s="12">
        <v>417.1</v>
      </c>
      <c r="J202" s="13">
        <v>0.89</v>
      </c>
      <c r="K202" s="13">
        <v>0.52</v>
      </c>
      <c r="L202" s="13">
        <v>2.44</v>
      </c>
    </row>
    <row r="203" spans="1:12" x14ac:dyDescent="0.3">
      <c r="A203" s="5" t="s">
        <v>244</v>
      </c>
      <c r="B203" s="5" t="s">
        <v>231</v>
      </c>
      <c r="C203" s="5" t="s">
        <v>232</v>
      </c>
      <c r="D203" s="11">
        <v>6</v>
      </c>
      <c r="E203" s="11">
        <v>65</v>
      </c>
      <c r="F203" s="12">
        <v>142.19999999999999</v>
      </c>
      <c r="G203" s="12">
        <v>24.1</v>
      </c>
      <c r="H203" s="12">
        <v>70.8</v>
      </c>
      <c r="I203" s="12">
        <v>275</v>
      </c>
      <c r="J203" s="13">
        <v>0.55000000000000004</v>
      </c>
      <c r="K203" s="13">
        <v>0.35</v>
      </c>
      <c r="L203" s="13">
        <v>1.72</v>
      </c>
    </row>
    <row r="204" spans="1:12" x14ac:dyDescent="0.3">
      <c r="A204" s="5" t="s">
        <v>245</v>
      </c>
      <c r="B204" s="5" t="s">
        <v>231</v>
      </c>
      <c r="C204" s="5" t="s">
        <v>232</v>
      </c>
      <c r="D204" s="11">
        <v>3</v>
      </c>
      <c r="E204" s="11">
        <v>86</v>
      </c>
      <c r="F204" s="12">
        <v>229.6</v>
      </c>
      <c r="G204" s="12">
        <v>30.3</v>
      </c>
      <c r="H204" s="12">
        <v>122.7</v>
      </c>
      <c r="I204" s="12">
        <v>412.5</v>
      </c>
      <c r="J204" s="13">
        <v>0.82</v>
      </c>
      <c r="K204" s="13">
        <v>0.51</v>
      </c>
      <c r="L204" s="13">
        <v>3.39</v>
      </c>
    </row>
    <row r="205" spans="1:12" x14ac:dyDescent="0.3">
      <c r="A205" s="5" t="s">
        <v>246</v>
      </c>
      <c r="B205" s="5" t="s">
        <v>231</v>
      </c>
      <c r="C205" s="5" t="s">
        <v>232</v>
      </c>
      <c r="D205" s="11">
        <v>10</v>
      </c>
      <c r="E205" s="11">
        <v>72</v>
      </c>
      <c r="F205" s="12">
        <v>206.2</v>
      </c>
      <c r="G205" s="12">
        <v>27.6</v>
      </c>
      <c r="H205" s="12">
        <v>68.7</v>
      </c>
      <c r="I205" s="12">
        <v>335.7</v>
      </c>
      <c r="J205" s="13">
        <v>0.65</v>
      </c>
      <c r="K205" s="13">
        <v>0.55000000000000004</v>
      </c>
      <c r="L205" s="13">
        <v>2.66</v>
      </c>
    </row>
    <row r="206" spans="1:12" x14ac:dyDescent="0.3">
      <c r="A206" s="5" t="s">
        <v>247</v>
      </c>
      <c r="B206" s="5" t="s">
        <v>231</v>
      </c>
      <c r="C206" s="5" t="s">
        <v>232</v>
      </c>
      <c r="D206" s="11">
        <v>2</v>
      </c>
      <c r="E206" s="11">
        <v>98</v>
      </c>
      <c r="F206" s="12">
        <v>248.6</v>
      </c>
      <c r="G206" s="12">
        <v>42.5</v>
      </c>
      <c r="H206" s="12">
        <v>92.6</v>
      </c>
      <c r="I206" s="12">
        <v>384.3</v>
      </c>
      <c r="J206" s="13">
        <v>0.57999999999999996</v>
      </c>
      <c r="K206" s="13">
        <v>0.62</v>
      </c>
      <c r="L206" s="13">
        <v>3.41</v>
      </c>
    </row>
    <row r="207" spans="1:12" x14ac:dyDescent="0.3">
      <c r="A207" s="5" t="s">
        <v>248</v>
      </c>
      <c r="B207" s="5" t="s">
        <v>231</v>
      </c>
      <c r="C207" s="5" t="s">
        <v>232</v>
      </c>
      <c r="D207" s="11">
        <v>5</v>
      </c>
      <c r="E207" s="11">
        <v>64</v>
      </c>
      <c r="F207" s="12">
        <v>137.6</v>
      </c>
      <c r="G207" s="12">
        <v>23.2</v>
      </c>
      <c r="H207" s="12">
        <v>89.4</v>
      </c>
      <c r="I207" s="12">
        <v>296.7</v>
      </c>
      <c r="J207" s="13">
        <v>0.36</v>
      </c>
      <c r="K207" s="13">
        <v>0.42</v>
      </c>
      <c r="L207" s="13">
        <v>1.89</v>
      </c>
    </row>
    <row r="208" spans="1:12" x14ac:dyDescent="0.3">
      <c r="A208" s="5" t="s">
        <v>249</v>
      </c>
      <c r="B208" s="5" t="s">
        <v>231</v>
      </c>
      <c r="C208" s="5" t="s">
        <v>232</v>
      </c>
      <c r="D208" s="11">
        <v>10</v>
      </c>
      <c r="E208" s="11">
        <v>80</v>
      </c>
      <c r="F208" s="12">
        <v>183.2</v>
      </c>
      <c r="G208" s="12">
        <v>23.8</v>
      </c>
      <c r="H208" s="12">
        <v>58.1</v>
      </c>
      <c r="I208" s="12">
        <v>270.10000000000002</v>
      </c>
      <c r="J208" s="13">
        <v>0.57999999999999996</v>
      </c>
      <c r="K208" s="13">
        <v>0.49</v>
      </c>
      <c r="L208" s="13">
        <v>2.35</v>
      </c>
    </row>
    <row r="209" spans="1:12" x14ac:dyDescent="0.3">
      <c r="A209" s="5" t="s">
        <v>250</v>
      </c>
      <c r="B209" s="5" t="s">
        <v>251</v>
      </c>
      <c r="C209" s="5" t="s">
        <v>232</v>
      </c>
      <c r="D209" s="11">
        <v>2</v>
      </c>
      <c r="E209" s="11">
        <v>85</v>
      </c>
      <c r="F209" s="12">
        <v>155.9</v>
      </c>
      <c r="G209" s="12">
        <v>21.1</v>
      </c>
      <c r="H209" s="12">
        <v>77.2</v>
      </c>
      <c r="I209" s="12">
        <v>278.2</v>
      </c>
      <c r="J209" s="13">
        <v>0.59</v>
      </c>
      <c r="K209" s="13">
        <v>0.41</v>
      </c>
      <c r="L209" s="13">
        <v>2.5</v>
      </c>
    </row>
    <row r="210" spans="1:12" x14ac:dyDescent="0.3">
      <c r="A210" s="5" t="s">
        <v>252</v>
      </c>
      <c r="B210" s="5" t="s">
        <v>251</v>
      </c>
      <c r="C210" s="5" t="s">
        <v>232</v>
      </c>
      <c r="D210" s="11">
        <v>6</v>
      </c>
      <c r="E210" s="11">
        <v>82</v>
      </c>
      <c r="F210" s="12">
        <v>188.8</v>
      </c>
      <c r="G210" s="12">
        <v>24.3</v>
      </c>
      <c r="H210" s="12">
        <v>79.400000000000006</v>
      </c>
      <c r="I210" s="12">
        <v>276.10000000000002</v>
      </c>
      <c r="J210" s="13">
        <v>0.42</v>
      </c>
      <c r="K210" s="13">
        <v>0.43</v>
      </c>
      <c r="L210" s="13">
        <v>2.83</v>
      </c>
    </row>
    <row r="211" spans="1:12" x14ac:dyDescent="0.3">
      <c r="A211" s="5" t="s">
        <v>253</v>
      </c>
      <c r="B211" s="5" t="s">
        <v>251</v>
      </c>
      <c r="C211" s="5" t="s">
        <v>232</v>
      </c>
      <c r="D211" s="11">
        <v>7</v>
      </c>
      <c r="E211" s="11">
        <v>61</v>
      </c>
      <c r="F211" s="12">
        <v>154</v>
      </c>
      <c r="G211" s="12">
        <v>23.2</v>
      </c>
      <c r="H211" s="12">
        <v>74.099999999999994</v>
      </c>
      <c r="I211" s="12">
        <v>263.89999999999998</v>
      </c>
      <c r="J211" s="13">
        <v>0.56000000000000005</v>
      </c>
      <c r="K211" s="13">
        <v>0.39</v>
      </c>
      <c r="L211" s="13">
        <v>2.0499999999999998</v>
      </c>
    </row>
    <row r="212" spans="1:12" x14ac:dyDescent="0.3">
      <c r="A212" s="5" t="s">
        <v>254</v>
      </c>
      <c r="B212" s="5" t="s">
        <v>251</v>
      </c>
      <c r="C212" s="5" t="s">
        <v>232</v>
      </c>
      <c r="D212" s="11">
        <v>6</v>
      </c>
      <c r="E212" s="11">
        <v>84</v>
      </c>
      <c r="F212" s="12">
        <v>159.4</v>
      </c>
      <c r="G212" s="12">
        <v>20.8</v>
      </c>
      <c r="H212" s="12">
        <v>67.7</v>
      </c>
      <c r="I212" s="12">
        <v>320.7</v>
      </c>
      <c r="J212" s="13">
        <v>0.75</v>
      </c>
      <c r="K212" s="13">
        <v>0.46</v>
      </c>
      <c r="L212" s="13">
        <v>2.58</v>
      </c>
    </row>
    <row r="213" spans="1:12" x14ac:dyDescent="0.3">
      <c r="A213" s="5" t="s">
        <v>255</v>
      </c>
      <c r="B213" s="5" t="s">
        <v>251</v>
      </c>
      <c r="C213" s="5" t="s">
        <v>232</v>
      </c>
      <c r="D213" s="11">
        <v>3</v>
      </c>
      <c r="E213" s="11">
        <v>63</v>
      </c>
      <c r="F213" s="12">
        <v>126.1</v>
      </c>
      <c r="G213" s="12">
        <v>18.600000000000001</v>
      </c>
      <c r="H213" s="12">
        <v>50.1</v>
      </c>
      <c r="I213" s="12">
        <v>198.1</v>
      </c>
      <c r="J213" s="13">
        <v>0.35</v>
      </c>
      <c r="K213" s="13">
        <v>0.31</v>
      </c>
      <c r="L213" s="13">
        <v>1.77</v>
      </c>
    </row>
    <row r="214" spans="1:12" x14ac:dyDescent="0.3">
      <c r="A214" s="5" t="s">
        <v>256</v>
      </c>
      <c r="B214" s="5" t="s">
        <v>251</v>
      </c>
      <c r="C214" s="5" t="s">
        <v>232</v>
      </c>
      <c r="D214" s="11">
        <v>4</v>
      </c>
      <c r="E214" s="11">
        <v>50</v>
      </c>
      <c r="F214" s="12">
        <v>90.3</v>
      </c>
      <c r="G214" s="12">
        <v>12.3</v>
      </c>
      <c r="H214" s="12">
        <v>49.1</v>
      </c>
      <c r="I214" s="12">
        <v>176.5</v>
      </c>
      <c r="J214" s="13">
        <v>0.37</v>
      </c>
      <c r="K214" s="13">
        <v>0.34</v>
      </c>
      <c r="L214" s="13">
        <v>1.47</v>
      </c>
    </row>
    <row r="215" spans="1:12" x14ac:dyDescent="0.3">
      <c r="A215" s="5" t="s">
        <v>257</v>
      </c>
      <c r="B215" s="5" t="s">
        <v>251</v>
      </c>
      <c r="C215" s="5" t="s">
        <v>232</v>
      </c>
      <c r="D215" s="11">
        <v>6</v>
      </c>
      <c r="E215" s="11">
        <v>69</v>
      </c>
      <c r="F215" s="12">
        <v>121.2</v>
      </c>
      <c r="G215" s="12">
        <v>18.7</v>
      </c>
      <c r="H215" s="12">
        <v>81.400000000000006</v>
      </c>
      <c r="I215" s="12">
        <v>243.5</v>
      </c>
      <c r="J215" s="13">
        <v>0.51</v>
      </c>
      <c r="K215" s="13">
        <v>0.44</v>
      </c>
      <c r="L215" s="13">
        <v>1.9</v>
      </c>
    </row>
    <row r="216" spans="1:12" x14ac:dyDescent="0.3">
      <c r="A216" s="5" t="s">
        <v>258</v>
      </c>
      <c r="B216" s="5" t="s">
        <v>251</v>
      </c>
      <c r="C216" s="5" t="s">
        <v>232</v>
      </c>
      <c r="D216" s="11">
        <v>7</v>
      </c>
      <c r="E216" s="11">
        <v>89</v>
      </c>
      <c r="F216" s="12">
        <v>201</v>
      </c>
      <c r="G216" s="12">
        <v>30.8</v>
      </c>
      <c r="H216" s="12">
        <v>118.4</v>
      </c>
      <c r="I216" s="12">
        <v>321.2</v>
      </c>
      <c r="J216" s="13">
        <v>0.83</v>
      </c>
      <c r="K216" s="13">
        <v>0.65</v>
      </c>
      <c r="L216" s="13">
        <v>2.8</v>
      </c>
    </row>
    <row r="217" spans="1:12" x14ac:dyDescent="0.3">
      <c r="A217" s="5" t="s">
        <v>259</v>
      </c>
      <c r="B217" s="5" t="s">
        <v>251</v>
      </c>
      <c r="C217" s="5" t="s">
        <v>232</v>
      </c>
      <c r="D217" s="11">
        <v>2</v>
      </c>
      <c r="E217" s="11">
        <v>61</v>
      </c>
      <c r="F217" s="12">
        <v>146.9</v>
      </c>
      <c r="G217" s="12">
        <v>19.8</v>
      </c>
      <c r="H217" s="12">
        <v>68.7</v>
      </c>
      <c r="I217" s="12">
        <v>219.3</v>
      </c>
      <c r="J217" s="13">
        <v>0.47</v>
      </c>
      <c r="K217" s="13">
        <v>0.42</v>
      </c>
      <c r="L217" s="13">
        <v>2.2999999999999998</v>
      </c>
    </row>
    <row r="218" spans="1:12" x14ac:dyDescent="0.3">
      <c r="A218" s="5" t="s">
        <v>260</v>
      </c>
      <c r="B218" s="5" t="s">
        <v>251</v>
      </c>
      <c r="C218" s="5" t="s">
        <v>232</v>
      </c>
      <c r="D218" s="11">
        <v>6</v>
      </c>
      <c r="E218" s="11">
        <v>101</v>
      </c>
      <c r="F218" s="12">
        <v>275.10000000000002</v>
      </c>
      <c r="G218" s="12">
        <v>33.700000000000003</v>
      </c>
      <c r="H218" s="12">
        <v>95.3</v>
      </c>
      <c r="I218" s="12">
        <v>364.9</v>
      </c>
      <c r="J218" s="13">
        <v>0.97</v>
      </c>
      <c r="K218" s="13">
        <v>0.61</v>
      </c>
      <c r="L218" s="13">
        <v>4.0599999999999996</v>
      </c>
    </row>
    <row r="219" spans="1:12" x14ac:dyDescent="0.3">
      <c r="A219" s="5" t="s">
        <v>261</v>
      </c>
      <c r="B219" s="5" t="s">
        <v>251</v>
      </c>
      <c r="C219" s="5" t="s">
        <v>232</v>
      </c>
      <c r="D219" s="11">
        <v>7</v>
      </c>
      <c r="E219" s="11">
        <v>125</v>
      </c>
      <c r="F219" s="12">
        <v>233.5</v>
      </c>
      <c r="G219" s="12">
        <v>27.9</v>
      </c>
      <c r="H219" s="12">
        <v>89.3</v>
      </c>
      <c r="I219" s="12">
        <v>388.2</v>
      </c>
      <c r="J219" s="13">
        <v>0.7</v>
      </c>
      <c r="K219" s="13">
        <v>0.71</v>
      </c>
      <c r="L219" s="13">
        <v>2.95</v>
      </c>
    </row>
    <row r="220" spans="1:12" x14ac:dyDescent="0.3">
      <c r="A220" s="5" t="s">
        <v>262</v>
      </c>
      <c r="B220" s="5" t="s">
        <v>251</v>
      </c>
      <c r="C220" s="5" t="s">
        <v>232</v>
      </c>
      <c r="D220" s="11">
        <v>1</v>
      </c>
      <c r="E220" s="11">
        <v>63</v>
      </c>
      <c r="F220" s="12">
        <v>126.3</v>
      </c>
      <c r="G220" s="12">
        <v>15.4</v>
      </c>
      <c r="H220" s="12">
        <v>48.9</v>
      </c>
      <c r="I220" s="12">
        <v>248.8</v>
      </c>
      <c r="J220" s="13">
        <v>0.56000000000000005</v>
      </c>
      <c r="K220" s="13">
        <v>0.3</v>
      </c>
      <c r="L220" s="13">
        <v>1.69</v>
      </c>
    </row>
    <row r="221" spans="1:12" x14ac:dyDescent="0.3">
      <c r="A221" s="5" t="s">
        <v>263</v>
      </c>
      <c r="B221" s="5" t="s">
        <v>264</v>
      </c>
      <c r="C221" s="5" t="s">
        <v>35</v>
      </c>
      <c r="D221" s="11">
        <v>3</v>
      </c>
      <c r="E221" s="11">
        <v>61</v>
      </c>
      <c r="F221" s="12">
        <v>133.69999999999999</v>
      </c>
      <c r="G221" s="12">
        <v>17.600000000000001</v>
      </c>
      <c r="H221" s="12">
        <v>63.5</v>
      </c>
      <c r="I221" s="12">
        <v>237.5</v>
      </c>
      <c r="J221" s="13">
        <v>0.68</v>
      </c>
      <c r="K221" s="13">
        <v>0.28999999999999998</v>
      </c>
      <c r="L221" s="13">
        <v>1.94</v>
      </c>
    </row>
    <row r="222" spans="1:12" x14ac:dyDescent="0.3">
      <c r="A222" s="5" t="s">
        <v>265</v>
      </c>
      <c r="B222" s="5" t="s">
        <v>264</v>
      </c>
      <c r="C222" s="5" t="s">
        <v>35</v>
      </c>
      <c r="D222" s="11">
        <v>4</v>
      </c>
      <c r="E222" s="11">
        <v>98</v>
      </c>
      <c r="F222" s="12">
        <v>162.30000000000001</v>
      </c>
      <c r="G222" s="12">
        <v>20.6</v>
      </c>
      <c r="H222" s="12">
        <v>73.2</v>
      </c>
      <c r="I222" s="12">
        <v>316.89999999999998</v>
      </c>
      <c r="J222" s="13">
        <v>0.65</v>
      </c>
      <c r="K222" s="13">
        <v>0.47</v>
      </c>
      <c r="L222" s="13">
        <v>2.66</v>
      </c>
    </row>
    <row r="223" spans="1:12" x14ac:dyDescent="0.3">
      <c r="A223" s="5" t="s">
        <v>266</v>
      </c>
      <c r="B223" s="5" t="s">
        <v>264</v>
      </c>
      <c r="C223" s="5" t="s">
        <v>35</v>
      </c>
      <c r="D223" s="11">
        <v>6</v>
      </c>
      <c r="E223" s="11">
        <v>92</v>
      </c>
      <c r="F223" s="12">
        <v>182.8</v>
      </c>
      <c r="G223" s="12">
        <v>22.8</v>
      </c>
      <c r="H223" s="12">
        <v>78.099999999999994</v>
      </c>
      <c r="I223" s="12">
        <v>377.2</v>
      </c>
      <c r="J223" s="13">
        <v>0.96</v>
      </c>
      <c r="K223" s="13">
        <v>0.57999999999999996</v>
      </c>
      <c r="L223" s="13">
        <v>3.15</v>
      </c>
    </row>
    <row r="224" spans="1:12" x14ac:dyDescent="0.3">
      <c r="A224" s="5" t="s">
        <v>267</v>
      </c>
      <c r="B224" s="5" t="s">
        <v>264</v>
      </c>
      <c r="C224" s="5" t="s">
        <v>35</v>
      </c>
      <c r="D224" s="11">
        <v>2</v>
      </c>
      <c r="E224" s="11">
        <v>119</v>
      </c>
      <c r="F224" s="12">
        <v>222</v>
      </c>
      <c r="G224" s="12">
        <v>29.2</v>
      </c>
      <c r="H224" s="12">
        <v>94.6</v>
      </c>
      <c r="I224" s="12">
        <v>343.1</v>
      </c>
      <c r="J224" s="13">
        <v>1.05</v>
      </c>
      <c r="K224" s="13">
        <v>0.67</v>
      </c>
      <c r="L224" s="13">
        <v>3.18</v>
      </c>
    </row>
    <row r="225" spans="1:12" x14ac:dyDescent="0.3">
      <c r="A225" s="5" t="s">
        <v>268</v>
      </c>
      <c r="B225" s="5" t="s">
        <v>264</v>
      </c>
      <c r="C225" s="5" t="s">
        <v>35</v>
      </c>
      <c r="D225" s="11">
        <v>8</v>
      </c>
      <c r="E225" s="11">
        <v>71</v>
      </c>
      <c r="F225" s="12">
        <v>110.2</v>
      </c>
      <c r="G225" s="12">
        <v>14.2</v>
      </c>
      <c r="H225" s="12">
        <v>42.9</v>
      </c>
      <c r="I225" s="12">
        <v>218.5</v>
      </c>
      <c r="J225" s="13">
        <v>0.4</v>
      </c>
      <c r="K225" s="13">
        <v>0.37</v>
      </c>
      <c r="L225" s="13">
        <v>1.87</v>
      </c>
    </row>
    <row r="226" spans="1:12" x14ac:dyDescent="0.3">
      <c r="A226" s="5" t="s">
        <v>269</v>
      </c>
      <c r="B226" s="5" t="s">
        <v>264</v>
      </c>
      <c r="C226" s="5" t="s">
        <v>35</v>
      </c>
      <c r="D226" s="11">
        <v>3</v>
      </c>
      <c r="E226" s="11">
        <v>96</v>
      </c>
      <c r="F226" s="12">
        <v>180.4</v>
      </c>
      <c r="G226" s="12">
        <v>18.7</v>
      </c>
      <c r="H226" s="12">
        <v>109.3</v>
      </c>
      <c r="I226" s="12">
        <v>321.7</v>
      </c>
      <c r="J226" s="13">
        <v>0.57999999999999996</v>
      </c>
      <c r="K226" s="13">
        <v>0.6</v>
      </c>
      <c r="L226" s="13">
        <v>3.13</v>
      </c>
    </row>
    <row r="227" spans="1:12" x14ac:dyDescent="0.3">
      <c r="A227" s="5" t="s">
        <v>270</v>
      </c>
      <c r="B227" s="5" t="s">
        <v>264</v>
      </c>
      <c r="C227" s="5" t="s">
        <v>35</v>
      </c>
      <c r="D227" s="11">
        <v>3</v>
      </c>
      <c r="E227" s="11">
        <v>86</v>
      </c>
      <c r="F227" s="12">
        <v>143.6</v>
      </c>
      <c r="G227" s="12">
        <v>16.3</v>
      </c>
      <c r="H227" s="12">
        <v>65.5</v>
      </c>
      <c r="I227" s="12">
        <v>275.39999999999998</v>
      </c>
      <c r="J227" s="13">
        <v>0.71</v>
      </c>
      <c r="K227" s="13">
        <v>0.36</v>
      </c>
      <c r="L227" s="13">
        <v>2.23</v>
      </c>
    </row>
    <row r="228" spans="1:12" x14ac:dyDescent="0.3">
      <c r="A228" s="5" t="s">
        <v>271</v>
      </c>
      <c r="B228" s="5" t="s">
        <v>264</v>
      </c>
      <c r="C228" s="5" t="s">
        <v>35</v>
      </c>
      <c r="D228" s="11">
        <v>3</v>
      </c>
      <c r="E228" s="11">
        <v>73</v>
      </c>
      <c r="F228" s="12">
        <v>175.2</v>
      </c>
      <c r="G228" s="12">
        <v>18.5</v>
      </c>
      <c r="H228" s="12">
        <v>88.7</v>
      </c>
      <c r="I228" s="12">
        <v>253.9</v>
      </c>
      <c r="J228" s="13">
        <v>0.8</v>
      </c>
      <c r="K228" s="13">
        <v>0.44</v>
      </c>
      <c r="L228" s="13">
        <v>2.6</v>
      </c>
    </row>
    <row r="229" spans="1:12" x14ac:dyDescent="0.3">
      <c r="A229" s="5" t="s">
        <v>272</v>
      </c>
      <c r="B229" s="5" t="s">
        <v>264</v>
      </c>
      <c r="C229" s="5" t="s">
        <v>35</v>
      </c>
      <c r="D229" s="11">
        <v>7</v>
      </c>
      <c r="E229" s="11">
        <v>68</v>
      </c>
      <c r="F229" s="12">
        <v>109.5</v>
      </c>
      <c r="G229" s="12">
        <v>14.1</v>
      </c>
      <c r="H229" s="12">
        <v>52.3</v>
      </c>
      <c r="I229" s="12">
        <v>220.7</v>
      </c>
      <c r="J229" s="13">
        <v>0.56999999999999995</v>
      </c>
      <c r="K229" s="13">
        <v>0.26</v>
      </c>
      <c r="L229" s="13">
        <v>1.86</v>
      </c>
    </row>
    <row r="230" spans="1:12" x14ac:dyDescent="0.3">
      <c r="A230" s="5" t="s">
        <v>273</v>
      </c>
      <c r="B230" s="5" t="s">
        <v>264</v>
      </c>
      <c r="C230" s="5" t="s">
        <v>35</v>
      </c>
      <c r="D230" s="11">
        <v>2</v>
      </c>
      <c r="E230" s="11">
        <v>98</v>
      </c>
      <c r="F230" s="12">
        <v>209.5</v>
      </c>
      <c r="G230" s="12">
        <v>23.4</v>
      </c>
      <c r="H230" s="12">
        <v>125.8</v>
      </c>
      <c r="I230" s="12">
        <v>338.7</v>
      </c>
      <c r="J230" s="13">
        <v>1.07</v>
      </c>
      <c r="K230" s="13">
        <v>0.63</v>
      </c>
      <c r="L230" s="13">
        <v>3.16</v>
      </c>
    </row>
    <row r="231" spans="1:12" x14ac:dyDescent="0.3">
      <c r="A231" s="5" t="s">
        <v>274</v>
      </c>
      <c r="B231" s="5" t="s">
        <v>264</v>
      </c>
      <c r="C231" s="5" t="s">
        <v>35</v>
      </c>
      <c r="D231" s="11">
        <v>10</v>
      </c>
      <c r="E231" s="11">
        <v>62</v>
      </c>
      <c r="F231" s="12">
        <v>130.4</v>
      </c>
      <c r="G231" s="12">
        <v>17.2</v>
      </c>
      <c r="H231" s="12">
        <v>54.4</v>
      </c>
      <c r="I231" s="12">
        <v>240.9</v>
      </c>
      <c r="J231" s="13">
        <v>0.6</v>
      </c>
      <c r="K231" s="13">
        <v>0.32</v>
      </c>
      <c r="L231" s="13">
        <v>2.09</v>
      </c>
    </row>
    <row r="232" spans="1:12" x14ac:dyDescent="0.3">
      <c r="A232" s="5" t="s">
        <v>275</v>
      </c>
      <c r="B232" s="5" t="s">
        <v>264</v>
      </c>
      <c r="C232" s="5" t="s">
        <v>35</v>
      </c>
      <c r="D232" s="11">
        <v>2</v>
      </c>
      <c r="E232" s="11">
        <v>101</v>
      </c>
      <c r="F232" s="12">
        <v>215.1</v>
      </c>
      <c r="G232" s="12">
        <v>25.7</v>
      </c>
      <c r="H232" s="12">
        <v>89.5</v>
      </c>
      <c r="I232" s="12">
        <v>344.2</v>
      </c>
      <c r="J232" s="13">
        <v>0.65</v>
      </c>
      <c r="K232" s="13">
        <v>0.49</v>
      </c>
      <c r="L232" s="13">
        <v>3.13</v>
      </c>
    </row>
    <row r="233" spans="1:12" x14ac:dyDescent="0.3">
      <c r="A233" s="5" t="s">
        <v>276</v>
      </c>
      <c r="B233" s="5" t="s">
        <v>264</v>
      </c>
      <c r="C233" s="5" t="s">
        <v>35</v>
      </c>
      <c r="D233" s="11">
        <v>6</v>
      </c>
      <c r="E233" s="11">
        <v>87</v>
      </c>
      <c r="F233" s="12">
        <v>192.1</v>
      </c>
      <c r="G233" s="12">
        <v>22.3</v>
      </c>
      <c r="H233" s="12">
        <v>69.5</v>
      </c>
      <c r="I233" s="12">
        <v>347.3</v>
      </c>
      <c r="J233" s="13">
        <v>0.77</v>
      </c>
      <c r="K233" s="13">
        <v>0.45</v>
      </c>
      <c r="L233" s="13">
        <v>2.93</v>
      </c>
    </row>
    <row r="234" spans="1:12" x14ac:dyDescent="0.3">
      <c r="A234" s="5" t="s">
        <v>277</v>
      </c>
      <c r="B234" s="5" t="s">
        <v>264</v>
      </c>
      <c r="C234" s="5" t="s">
        <v>35</v>
      </c>
      <c r="D234" s="11">
        <v>4</v>
      </c>
      <c r="E234" s="11">
        <v>80</v>
      </c>
      <c r="F234" s="12">
        <v>128.4</v>
      </c>
      <c r="G234" s="12">
        <v>16</v>
      </c>
      <c r="H234" s="12">
        <v>76.099999999999994</v>
      </c>
      <c r="I234" s="12">
        <v>223.8</v>
      </c>
      <c r="J234" s="13">
        <v>0.7</v>
      </c>
      <c r="K234" s="13">
        <v>0.41</v>
      </c>
      <c r="L234" s="13">
        <v>2.2400000000000002</v>
      </c>
    </row>
    <row r="235" spans="1:12" x14ac:dyDescent="0.3">
      <c r="A235" s="5" t="s">
        <v>278</v>
      </c>
      <c r="B235" s="5" t="s">
        <v>264</v>
      </c>
      <c r="C235" s="5" t="s">
        <v>35</v>
      </c>
      <c r="D235" s="11">
        <v>3</v>
      </c>
      <c r="E235" s="11">
        <v>58</v>
      </c>
      <c r="F235" s="12">
        <v>111.7</v>
      </c>
      <c r="G235" s="12">
        <v>14.9</v>
      </c>
      <c r="H235" s="12">
        <v>42.9</v>
      </c>
      <c r="I235" s="12">
        <v>176.2</v>
      </c>
      <c r="J235" s="13">
        <v>0.41</v>
      </c>
      <c r="K235" s="13">
        <v>0.26</v>
      </c>
      <c r="L235" s="13">
        <v>1.5</v>
      </c>
    </row>
    <row r="236" spans="1:12" x14ac:dyDescent="0.3">
      <c r="A236" s="5" t="s">
        <v>279</v>
      </c>
      <c r="B236" s="5" t="s">
        <v>264</v>
      </c>
      <c r="C236" s="5" t="s">
        <v>35</v>
      </c>
      <c r="D236" s="11">
        <v>3</v>
      </c>
      <c r="E236" s="11">
        <v>84</v>
      </c>
      <c r="F236" s="12">
        <v>162</v>
      </c>
      <c r="G236" s="12">
        <v>16.5</v>
      </c>
      <c r="H236" s="12">
        <v>85.2</v>
      </c>
      <c r="I236" s="12">
        <v>287</v>
      </c>
      <c r="J236" s="13">
        <v>0.78</v>
      </c>
      <c r="K236" s="13">
        <v>0.43</v>
      </c>
      <c r="L236" s="13">
        <v>2.81</v>
      </c>
    </row>
    <row r="237" spans="1:12" x14ac:dyDescent="0.3">
      <c r="A237" s="5" t="s">
        <v>280</v>
      </c>
      <c r="B237" s="5" t="s">
        <v>264</v>
      </c>
      <c r="C237" s="5" t="s">
        <v>35</v>
      </c>
      <c r="D237" s="11">
        <v>2</v>
      </c>
      <c r="E237" s="11">
        <v>66</v>
      </c>
      <c r="F237" s="12">
        <v>145.9</v>
      </c>
      <c r="G237" s="12">
        <v>16.8</v>
      </c>
      <c r="H237" s="12">
        <v>63.5</v>
      </c>
      <c r="I237" s="12">
        <v>183.5</v>
      </c>
      <c r="J237" s="13">
        <v>0.44</v>
      </c>
      <c r="K237" s="13">
        <v>0.28000000000000003</v>
      </c>
      <c r="L237" s="13">
        <v>2.14</v>
      </c>
    </row>
    <row r="238" spans="1:12" x14ac:dyDescent="0.3">
      <c r="A238" s="5" t="s">
        <v>281</v>
      </c>
      <c r="B238" s="5" t="s">
        <v>264</v>
      </c>
      <c r="C238" s="5" t="s">
        <v>35</v>
      </c>
      <c r="D238" s="11">
        <v>2</v>
      </c>
      <c r="E238" s="11">
        <v>52</v>
      </c>
      <c r="F238" s="12">
        <v>97.1</v>
      </c>
      <c r="G238" s="12">
        <v>12.1</v>
      </c>
      <c r="H238" s="12">
        <v>40.200000000000003</v>
      </c>
      <c r="I238" s="12">
        <v>198.9</v>
      </c>
      <c r="J238" s="13">
        <v>0.33</v>
      </c>
      <c r="K238" s="13">
        <v>0.26</v>
      </c>
      <c r="L238" s="13">
        <v>1.84</v>
      </c>
    </row>
    <row r="239" spans="1:12" x14ac:dyDescent="0.3">
      <c r="A239" s="5" t="s">
        <v>282</v>
      </c>
      <c r="B239" s="5" t="s">
        <v>264</v>
      </c>
      <c r="C239" s="5" t="s">
        <v>35</v>
      </c>
      <c r="D239" s="11">
        <v>10</v>
      </c>
      <c r="E239" s="11">
        <v>71</v>
      </c>
      <c r="F239" s="12">
        <v>139.4</v>
      </c>
      <c r="G239" s="12">
        <v>17.600000000000001</v>
      </c>
      <c r="H239" s="12">
        <v>63.4</v>
      </c>
      <c r="I239" s="12">
        <v>275.89999999999998</v>
      </c>
      <c r="J239" s="13">
        <v>0.48</v>
      </c>
      <c r="K239" s="13">
        <v>0.37</v>
      </c>
      <c r="L239" s="13">
        <v>2.19</v>
      </c>
    </row>
    <row r="240" spans="1:12" x14ac:dyDescent="0.3">
      <c r="A240" s="5" t="s">
        <v>283</v>
      </c>
      <c r="B240" s="5" t="s">
        <v>264</v>
      </c>
      <c r="C240" s="5" t="s">
        <v>35</v>
      </c>
      <c r="D240" s="11">
        <v>2</v>
      </c>
      <c r="E240" s="11">
        <v>95</v>
      </c>
      <c r="F240" s="12">
        <v>182.2</v>
      </c>
      <c r="G240" s="12">
        <v>20.5</v>
      </c>
      <c r="H240" s="12">
        <v>102.3</v>
      </c>
      <c r="I240" s="12">
        <v>330.8</v>
      </c>
      <c r="J240" s="13">
        <v>0.77</v>
      </c>
      <c r="K240" s="13">
        <v>0.55000000000000004</v>
      </c>
      <c r="L240" s="13">
        <v>2.96</v>
      </c>
    </row>
    <row r="241" spans="1:12" x14ac:dyDescent="0.3">
      <c r="A241" s="5" t="s">
        <v>284</v>
      </c>
      <c r="B241" s="5" t="s">
        <v>264</v>
      </c>
      <c r="C241" s="5" t="s">
        <v>35</v>
      </c>
      <c r="D241" s="11">
        <v>6</v>
      </c>
      <c r="E241" s="11">
        <v>97</v>
      </c>
      <c r="F241" s="12">
        <v>195.5</v>
      </c>
      <c r="G241" s="12">
        <v>21.2</v>
      </c>
      <c r="H241" s="12">
        <v>68.7</v>
      </c>
      <c r="I241" s="12">
        <v>304.10000000000002</v>
      </c>
      <c r="J241" s="13">
        <v>0.56999999999999995</v>
      </c>
      <c r="K241" s="13">
        <v>0.6</v>
      </c>
      <c r="L241" s="13">
        <v>2.91</v>
      </c>
    </row>
    <row r="242" spans="1:12" x14ac:dyDescent="0.3">
      <c r="A242" s="5" t="s">
        <v>285</v>
      </c>
      <c r="B242" s="5" t="s">
        <v>264</v>
      </c>
      <c r="C242" s="5" t="s">
        <v>35</v>
      </c>
      <c r="D242" s="11">
        <v>8</v>
      </c>
      <c r="E242" s="11">
        <v>53</v>
      </c>
      <c r="F242" s="12">
        <v>105.8</v>
      </c>
      <c r="G242" s="12">
        <v>12.1</v>
      </c>
      <c r="H242" s="12">
        <v>63.7</v>
      </c>
      <c r="I242" s="12">
        <v>201.9</v>
      </c>
      <c r="J242" s="13">
        <v>0.47</v>
      </c>
      <c r="K242" s="13">
        <v>0.33</v>
      </c>
      <c r="L242" s="13">
        <v>1.55</v>
      </c>
    </row>
    <row r="243" spans="1:12" x14ac:dyDescent="0.3">
      <c r="A243" s="5" t="s">
        <v>286</v>
      </c>
      <c r="B243" s="5" t="s">
        <v>264</v>
      </c>
      <c r="C243" s="5" t="s">
        <v>35</v>
      </c>
      <c r="D243" s="11">
        <v>8</v>
      </c>
      <c r="E243" s="11">
        <v>80</v>
      </c>
      <c r="F243" s="12">
        <v>167.4</v>
      </c>
      <c r="G243" s="12">
        <v>19.600000000000001</v>
      </c>
      <c r="H243" s="12">
        <v>69.599999999999994</v>
      </c>
      <c r="I243" s="12">
        <v>244.9</v>
      </c>
      <c r="J243" s="13">
        <v>0.46</v>
      </c>
      <c r="K243" s="13">
        <v>0.46</v>
      </c>
      <c r="L243" s="13">
        <v>2.62</v>
      </c>
    </row>
    <row r="244" spans="1:12" x14ac:dyDescent="0.3">
      <c r="A244" s="5" t="s">
        <v>287</v>
      </c>
      <c r="B244" s="5" t="s">
        <v>264</v>
      </c>
      <c r="C244" s="5" t="s">
        <v>35</v>
      </c>
      <c r="D244" s="11">
        <v>4</v>
      </c>
      <c r="E244" s="11">
        <v>69</v>
      </c>
      <c r="F244" s="12">
        <v>118.7</v>
      </c>
      <c r="G244" s="12">
        <v>15.9</v>
      </c>
      <c r="H244" s="12">
        <v>51.9</v>
      </c>
      <c r="I244" s="12">
        <v>176.6</v>
      </c>
      <c r="J244" s="13">
        <v>0.53</v>
      </c>
      <c r="K244" s="13">
        <v>0.28000000000000003</v>
      </c>
      <c r="L244" s="13">
        <v>1.81</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4"/>
  <sheetViews>
    <sheetView workbookViewId="0">
      <pane ySplit="4" topLeftCell="A5" activePane="bottomLeft" state="frozen"/>
      <selection pane="bottomLeft"/>
    </sheetView>
  </sheetViews>
  <sheetFormatPr defaultRowHeight="14.4" x14ac:dyDescent="0.3"/>
  <cols>
    <col min="1" max="1" width="12" customWidth="1"/>
    <col min="2" max="2" width="10" customWidth="1"/>
    <col min="3" max="3" width="15" customWidth="1"/>
    <col min="4" max="4" width="17" customWidth="1"/>
    <col min="5" max="5" width="10" customWidth="1"/>
    <col min="6" max="6" width="15" customWidth="1"/>
    <col min="7" max="7" width="17" customWidth="1"/>
    <col min="8" max="8" width="18" customWidth="1"/>
    <col min="9" max="9" width="13" customWidth="1"/>
  </cols>
  <sheetData>
    <row r="1" spans="1:9" ht="17.399999999999999" x14ac:dyDescent="0.3">
      <c r="A1" s="1" t="s">
        <v>288</v>
      </c>
      <c r="B1" s="2"/>
      <c r="C1" s="2"/>
      <c r="D1" s="2"/>
      <c r="E1" s="2"/>
      <c r="F1" s="2"/>
      <c r="G1" s="2"/>
      <c r="H1" s="2"/>
      <c r="I1" s="2"/>
    </row>
    <row r="2" spans="1:9" x14ac:dyDescent="0.3">
      <c r="A2" s="3" t="s">
        <v>289</v>
      </c>
      <c r="B2" s="2"/>
      <c r="C2" s="2"/>
      <c r="D2" s="2"/>
      <c r="E2" s="2"/>
      <c r="F2" s="2"/>
      <c r="G2" s="2"/>
      <c r="H2" s="2"/>
      <c r="I2" s="2"/>
    </row>
    <row r="3" spans="1:9" x14ac:dyDescent="0.3">
      <c r="A3" s="2"/>
      <c r="B3" s="2"/>
      <c r="C3" s="2"/>
      <c r="D3" s="2"/>
      <c r="E3" s="2"/>
      <c r="F3" s="2"/>
      <c r="G3" s="2"/>
      <c r="H3" s="2"/>
      <c r="I3" s="2"/>
    </row>
    <row r="4" spans="1:9" ht="27.6" x14ac:dyDescent="0.3">
      <c r="A4" s="4" t="s">
        <v>290</v>
      </c>
      <c r="B4" s="4" t="s">
        <v>291</v>
      </c>
      <c r="C4" s="4" t="s">
        <v>292</v>
      </c>
      <c r="D4" s="4" t="s">
        <v>293</v>
      </c>
      <c r="E4" s="4" t="s">
        <v>294</v>
      </c>
      <c r="F4" s="4" t="s">
        <v>295</v>
      </c>
      <c r="G4" s="4" t="s">
        <v>296</v>
      </c>
      <c r="H4" s="4" t="s">
        <v>297</v>
      </c>
      <c r="I4" s="4" t="s">
        <v>298</v>
      </c>
    </row>
    <row r="5" spans="1:9" x14ac:dyDescent="0.3">
      <c r="A5" s="5" t="s">
        <v>299</v>
      </c>
      <c r="B5" s="14">
        <v>190</v>
      </c>
      <c r="C5" s="14">
        <v>88</v>
      </c>
      <c r="D5" s="15">
        <f t="shared" ref="D5:D13" si="0">B5+C5</f>
        <v>278</v>
      </c>
      <c r="E5" s="14">
        <v>192</v>
      </c>
      <c r="F5" s="14">
        <v>93</v>
      </c>
      <c r="G5" s="15">
        <f t="shared" ref="G5:G13" si="1">E5+F5</f>
        <v>285</v>
      </c>
      <c r="H5" s="15">
        <f t="shared" ref="H5:H13" si="2">G5-D5</f>
        <v>7</v>
      </c>
      <c r="I5" s="16">
        <f t="shared" ref="I5:I14" si="3">IFERROR(G5/D5-1,0)</f>
        <v>2.5179856115107979E-2</v>
      </c>
    </row>
    <row r="6" spans="1:9" x14ac:dyDescent="0.3">
      <c r="A6" s="5" t="s">
        <v>300</v>
      </c>
      <c r="B6" s="14">
        <v>186</v>
      </c>
      <c r="C6" s="14">
        <v>80</v>
      </c>
      <c r="D6" s="15">
        <f t="shared" si="0"/>
        <v>266</v>
      </c>
      <c r="E6" s="14">
        <v>180</v>
      </c>
      <c r="F6" s="14">
        <v>78</v>
      </c>
      <c r="G6" s="15">
        <f t="shared" si="1"/>
        <v>258</v>
      </c>
      <c r="H6" s="15">
        <f t="shared" si="2"/>
        <v>-8</v>
      </c>
      <c r="I6" s="16">
        <f t="shared" si="3"/>
        <v>-3.007518796992481E-2</v>
      </c>
    </row>
    <row r="7" spans="1:9" x14ac:dyDescent="0.3">
      <c r="A7" s="5" t="s">
        <v>301</v>
      </c>
      <c r="B7" s="14">
        <v>194</v>
      </c>
      <c r="C7" s="14">
        <v>90</v>
      </c>
      <c r="D7" s="15">
        <f t="shared" si="0"/>
        <v>284</v>
      </c>
      <c r="E7" s="14">
        <v>197</v>
      </c>
      <c r="F7" s="14">
        <v>96</v>
      </c>
      <c r="G7" s="15">
        <f t="shared" si="1"/>
        <v>293</v>
      </c>
      <c r="H7" s="15">
        <f t="shared" si="2"/>
        <v>9</v>
      </c>
      <c r="I7" s="16">
        <f t="shared" si="3"/>
        <v>3.1690140845070491E-2</v>
      </c>
    </row>
    <row r="8" spans="1:9" x14ac:dyDescent="0.3">
      <c r="A8" s="5" t="s">
        <v>302</v>
      </c>
      <c r="B8" s="14">
        <v>197</v>
      </c>
      <c r="C8" s="14">
        <v>92</v>
      </c>
      <c r="D8" s="15">
        <f t="shared" si="0"/>
        <v>289</v>
      </c>
      <c r="E8" s="14">
        <v>199</v>
      </c>
      <c r="F8" s="14">
        <v>99</v>
      </c>
      <c r="G8" s="15">
        <f t="shared" si="1"/>
        <v>298</v>
      </c>
      <c r="H8" s="15">
        <f t="shared" si="2"/>
        <v>9</v>
      </c>
      <c r="I8" s="16">
        <f t="shared" si="3"/>
        <v>3.114186851211076E-2</v>
      </c>
    </row>
    <row r="9" spans="1:9" x14ac:dyDescent="0.3">
      <c r="A9" s="5" t="s">
        <v>303</v>
      </c>
      <c r="B9" s="14">
        <v>200</v>
      </c>
      <c r="C9" s="14">
        <v>94</v>
      </c>
      <c r="D9" s="15">
        <f t="shared" si="0"/>
        <v>294</v>
      </c>
      <c r="E9" s="14">
        <v>196</v>
      </c>
      <c r="F9" s="14">
        <v>95</v>
      </c>
      <c r="G9" s="15">
        <f t="shared" si="1"/>
        <v>291</v>
      </c>
      <c r="H9" s="15">
        <f t="shared" si="2"/>
        <v>-3</v>
      </c>
      <c r="I9" s="16">
        <f t="shared" si="3"/>
        <v>-1.0204081632653073E-2</v>
      </c>
    </row>
    <row r="10" spans="1:9" x14ac:dyDescent="0.3">
      <c r="A10" s="5" t="s">
        <v>304</v>
      </c>
      <c r="B10" s="14">
        <v>203</v>
      </c>
      <c r="C10" s="14">
        <v>96</v>
      </c>
      <c r="D10" s="15">
        <f t="shared" si="0"/>
        <v>299</v>
      </c>
      <c r="E10" s="14">
        <v>205</v>
      </c>
      <c r="F10" s="14">
        <v>104</v>
      </c>
      <c r="G10" s="15">
        <f t="shared" si="1"/>
        <v>309</v>
      </c>
      <c r="H10" s="15">
        <f t="shared" si="2"/>
        <v>10</v>
      </c>
      <c r="I10" s="16">
        <f t="shared" si="3"/>
        <v>3.3444816053511683E-2</v>
      </c>
    </row>
    <row r="11" spans="1:9" x14ac:dyDescent="0.3">
      <c r="A11" s="5" t="s">
        <v>305</v>
      </c>
      <c r="B11" s="14">
        <v>206</v>
      </c>
      <c r="C11" s="14">
        <v>98</v>
      </c>
      <c r="D11" s="15">
        <f t="shared" si="0"/>
        <v>304</v>
      </c>
      <c r="E11" s="14">
        <v>202</v>
      </c>
      <c r="F11" s="14">
        <v>112</v>
      </c>
      <c r="G11" s="15">
        <f t="shared" si="1"/>
        <v>314</v>
      </c>
      <c r="H11" s="15">
        <f t="shared" si="2"/>
        <v>10</v>
      </c>
      <c r="I11" s="16">
        <f t="shared" si="3"/>
        <v>3.289473684210531E-2</v>
      </c>
    </row>
    <row r="12" spans="1:9" x14ac:dyDescent="0.3">
      <c r="A12" s="5" t="s">
        <v>306</v>
      </c>
      <c r="B12" s="14">
        <v>209</v>
      </c>
      <c r="C12" s="14">
        <v>100</v>
      </c>
      <c r="D12" s="15">
        <f t="shared" si="0"/>
        <v>309</v>
      </c>
      <c r="E12" s="14">
        <v>188</v>
      </c>
      <c r="F12" s="14">
        <v>93</v>
      </c>
      <c r="G12" s="15">
        <f t="shared" si="1"/>
        <v>281</v>
      </c>
      <c r="H12" s="15">
        <f t="shared" si="2"/>
        <v>-28</v>
      </c>
      <c r="I12" s="16">
        <f t="shared" si="3"/>
        <v>-9.061488673139162E-2</v>
      </c>
    </row>
    <row r="13" spans="1:9" x14ac:dyDescent="0.3">
      <c r="A13" s="5" t="s">
        <v>307</v>
      </c>
      <c r="B13" s="14">
        <v>212</v>
      </c>
      <c r="C13" s="14">
        <v>102</v>
      </c>
      <c r="D13" s="15">
        <f t="shared" si="0"/>
        <v>314</v>
      </c>
      <c r="E13" s="14">
        <v>204</v>
      </c>
      <c r="F13" s="14">
        <v>118</v>
      </c>
      <c r="G13" s="15">
        <f t="shared" si="1"/>
        <v>322</v>
      </c>
      <c r="H13" s="15">
        <f t="shared" si="2"/>
        <v>8</v>
      </c>
      <c r="I13" s="16">
        <f t="shared" si="3"/>
        <v>2.5477707006369421E-2</v>
      </c>
    </row>
    <row r="14" spans="1:9" x14ac:dyDescent="0.3">
      <c r="A14" s="17" t="s">
        <v>308</v>
      </c>
      <c r="B14" s="18">
        <f t="shared" ref="B14:H14" si="4">SUM(B5:B13)</f>
        <v>1797</v>
      </c>
      <c r="C14" s="18">
        <f t="shared" si="4"/>
        <v>840</v>
      </c>
      <c r="D14" s="18">
        <f t="shared" si="4"/>
        <v>2637</v>
      </c>
      <c r="E14" s="18">
        <f t="shared" si="4"/>
        <v>1763</v>
      </c>
      <c r="F14" s="18">
        <f t="shared" si="4"/>
        <v>888</v>
      </c>
      <c r="G14" s="18">
        <f t="shared" si="4"/>
        <v>2651</v>
      </c>
      <c r="H14" s="18">
        <f t="shared" si="4"/>
        <v>14</v>
      </c>
      <c r="I14" s="19">
        <f t="shared" si="3"/>
        <v>5.3090633295411749E-3</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1"/>
  <sheetViews>
    <sheetView workbookViewId="0">
      <pane xSplit="1" ySplit="4" topLeftCell="B5" activePane="bottomRight" state="frozen"/>
      <selection pane="topRight"/>
      <selection pane="bottomLeft"/>
      <selection pane="bottomRight"/>
    </sheetView>
  </sheetViews>
  <sheetFormatPr defaultRowHeight="14.4" x14ac:dyDescent="0.3"/>
  <cols>
    <col min="1" max="1" width="44" customWidth="1"/>
    <col min="2" max="4" width="13" customWidth="1"/>
    <col min="5" max="5" width="12" customWidth="1"/>
    <col min="6" max="6" width="10" customWidth="1"/>
    <col min="7" max="7" width="12" customWidth="1"/>
    <col min="8" max="8" width="10" customWidth="1"/>
    <col min="9" max="9" width="52" customWidth="1"/>
  </cols>
  <sheetData>
    <row r="1" spans="1:9" ht="17.399999999999999" x14ac:dyDescent="0.3">
      <c r="A1" s="1" t="s">
        <v>309</v>
      </c>
      <c r="B1" s="2"/>
      <c r="C1" s="2"/>
      <c r="D1" s="2"/>
      <c r="E1" s="2"/>
      <c r="F1" s="2"/>
      <c r="G1" s="2"/>
      <c r="H1" s="2"/>
      <c r="I1" s="2"/>
    </row>
    <row r="2" spans="1:9" x14ac:dyDescent="0.3">
      <c r="A2" s="3" t="s">
        <v>310</v>
      </c>
      <c r="B2" s="2"/>
      <c r="C2" s="2"/>
      <c r="D2" s="2"/>
      <c r="E2" s="2"/>
      <c r="F2" s="2"/>
      <c r="G2" s="2"/>
      <c r="H2" s="2"/>
      <c r="I2" s="2"/>
    </row>
    <row r="3" spans="1:9" x14ac:dyDescent="0.3">
      <c r="A3" s="2"/>
      <c r="B3" s="2"/>
      <c r="C3" s="2"/>
      <c r="D3" s="2"/>
      <c r="E3" s="2"/>
      <c r="F3" s="2"/>
      <c r="G3" s="2"/>
      <c r="H3" s="2"/>
      <c r="I3" s="2"/>
    </row>
    <row r="4" spans="1:9" x14ac:dyDescent="0.3">
      <c r="A4" s="4" t="s">
        <v>311</v>
      </c>
      <c r="B4" s="4" t="s">
        <v>3</v>
      </c>
      <c r="C4" s="4" t="s">
        <v>4</v>
      </c>
      <c r="D4" s="4" t="s">
        <v>5</v>
      </c>
      <c r="E4" s="4" t="s">
        <v>312</v>
      </c>
      <c r="F4" s="4" t="s">
        <v>313</v>
      </c>
      <c r="G4" s="4" t="s">
        <v>314</v>
      </c>
      <c r="H4" s="4" t="s">
        <v>315</v>
      </c>
      <c r="I4" s="4" t="s">
        <v>316</v>
      </c>
    </row>
    <row r="5" spans="1:9" x14ac:dyDescent="0.3">
      <c r="A5" s="20" t="s">
        <v>317</v>
      </c>
      <c r="B5" s="21"/>
      <c r="C5" s="21"/>
      <c r="D5" s="21"/>
      <c r="E5" s="21"/>
      <c r="F5" s="21"/>
      <c r="G5" s="21"/>
      <c r="H5" s="21"/>
      <c r="I5" s="21"/>
    </row>
    <row r="6" spans="1:9" x14ac:dyDescent="0.3">
      <c r="A6" s="5" t="s">
        <v>9</v>
      </c>
      <c r="B6" s="14">
        <v>600</v>
      </c>
      <c r="C6" s="14">
        <v>627</v>
      </c>
      <c r="D6" s="14">
        <v>594</v>
      </c>
      <c r="E6" s="15">
        <f t="shared" ref="E6:E15" si="0">D6-C6</f>
        <v>-33</v>
      </c>
      <c r="F6" s="16">
        <f t="shared" ref="F6:F15" si="1">IFERROR(D6/C6-1,0)</f>
        <v>-5.2631578947368474E-2</v>
      </c>
      <c r="G6" s="15">
        <f t="shared" ref="G6:G15" si="2">D6-B6</f>
        <v>-6</v>
      </c>
      <c r="H6" s="16">
        <f t="shared" ref="H6:H15" si="3">IFERROR(D6/B6-1,0)</f>
        <v>-1.0000000000000009E-2</v>
      </c>
      <c r="I6" s="3" t="s">
        <v>318</v>
      </c>
    </row>
    <row r="7" spans="1:9" x14ac:dyDescent="0.3">
      <c r="A7" s="5" t="s">
        <v>319</v>
      </c>
      <c r="B7" s="14">
        <v>140</v>
      </c>
      <c r="C7" s="14">
        <v>122</v>
      </c>
      <c r="D7" s="14">
        <v>168</v>
      </c>
      <c r="E7" s="15">
        <f t="shared" si="0"/>
        <v>46</v>
      </c>
      <c r="F7" s="16">
        <f t="shared" si="1"/>
        <v>0.37704918032786883</v>
      </c>
      <c r="G7" s="15">
        <f t="shared" si="2"/>
        <v>28</v>
      </c>
      <c r="H7" s="16">
        <f t="shared" si="3"/>
        <v>0.19999999999999996</v>
      </c>
      <c r="I7" s="3" t="s">
        <v>320</v>
      </c>
    </row>
    <row r="8" spans="1:9" x14ac:dyDescent="0.3">
      <c r="A8" s="5" t="s">
        <v>321</v>
      </c>
      <c r="B8" s="14">
        <v>68</v>
      </c>
      <c r="C8" s="14">
        <v>78</v>
      </c>
      <c r="D8" s="14">
        <v>62</v>
      </c>
      <c r="E8" s="15">
        <f t="shared" si="0"/>
        <v>-16</v>
      </c>
      <c r="F8" s="16">
        <f t="shared" si="1"/>
        <v>-0.20512820512820518</v>
      </c>
      <c r="G8" s="15">
        <f t="shared" si="2"/>
        <v>-6</v>
      </c>
      <c r="H8" s="16">
        <f t="shared" si="3"/>
        <v>-8.8235294117647078E-2</v>
      </c>
      <c r="I8" s="3"/>
    </row>
    <row r="9" spans="1:9" x14ac:dyDescent="0.3">
      <c r="A9" s="5" t="s">
        <v>322</v>
      </c>
      <c r="B9" s="14">
        <v>47</v>
      </c>
      <c r="C9" s="14">
        <v>52</v>
      </c>
      <c r="D9" s="14">
        <v>48</v>
      </c>
      <c r="E9" s="15">
        <f t="shared" si="0"/>
        <v>-4</v>
      </c>
      <c r="F9" s="16">
        <f t="shared" si="1"/>
        <v>-7.6923076923076872E-2</v>
      </c>
      <c r="G9" s="15">
        <f t="shared" si="2"/>
        <v>1</v>
      </c>
      <c r="H9" s="16">
        <f t="shared" si="3"/>
        <v>2.1276595744680771E-2</v>
      </c>
      <c r="I9" s="3"/>
    </row>
    <row r="10" spans="1:9" x14ac:dyDescent="0.3">
      <c r="A10" s="5" t="s">
        <v>323</v>
      </c>
      <c r="B10" s="14">
        <v>43</v>
      </c>
      <c r="C10" s="14">
        <v>48</v>
      </c>
      <c r="D10" s="14">
        <v>45</v>
      </c>
      <c r="E10" s="15">
        <f t="shared" si="0"/>
        <v>-3</v>
      </c>
      <c r="F10" s="16">
        <f t="shared" si="1"/>
        <v>-6.25E-2</v>
      </c>
      <c r="G10" s="15">
        <f t="shared" si="2"/>
        <v>2</v>
      </c>
      <c r="H10" s="16">
        <f t="shared" si="3"/>
        <v>4.6511627906976827E-2</v>
      </c>
      <c r="I10" s="3"/>
    </row>
    <row r="11" spans="1:9" x14ac:dyDescent="0.3">
      <c r="A11" s="17" t="s">
        <v>10</v>
      </c>
      <c r="B11" s="18">
        <f>SUM(B7:B10)</f>
        <v>298</v>
      </c>
      <c r="C11" s="18">
        <f>SUM(C7:C10)</f>
        <v>300</v>
      </c>
      <c r="D11" s="18">
        <f>SUM(D7:D10)</f>
        <v>323</v>
      </c>
      <c r="E11" s="15">
        <f t="shared" si="0"/>
        <v>23</v>
      </c>
      <c r="F11" s="16">
        <f t="shared" si="1"/>
        <v>7.6666666666666661E-2</v>
      </c>
      <c r="G11" s="15">
        <f t="shared" si="2"/>
        <v>25</v>
      </c>
      <c r="H11" s="16">
        <f t="shared" si="3"/>
        <v>8.3892617449664364E-2</v>
      </c>
      <c r="I11" s="3"/>
    </row>
    <row r="12" spans="1:9" x14ac:dyDescent="0.3">
      <c r="A12" s="17" t="s">
        <v>8</v>
      </c>
      <c r="B12" s="18">
        <f>B6+B11</f>
        <v>898</v>
      </c>
      <c r="C12" s="18">
        <f>C6+C11</f>
        <v>927</v>
      </c>
      <c r="D12" s="18">
        <f>D6+D11</f>
        <v>917</v>
      </c>
      <c r="E12" s="15">
        <f t="shared" si="0"/>
        <v>-10</v>
      </c>
      <c r="F12" s="16">
        <f t="shared" si="1"/>
        <v>-1.0787486515641875E-2</v>
      </c>
      <c r="G12" s="15">
        <f t="shared" si="2"/>
        <v>19</v>
      </c>
      <c r="H12" s="16">
        <f t="shared" si="3"/>
        <v>2.1158129175946616E-2</v>
      </c>
      <c r="I12" s="3"/>
    </row>
    <row r="13" spans="1:9" x14ac:dyDescent="0.3">
      <c r="A13" s="5" t="s">
        <v>324</v>
      </c>
      <c r="B13" s="14">
        <v>250</v>
      </c>
      <c r="C13" s="14">
        <v>255</v>
      </c>
      <c r="D13" s="14">
        <v>262</v>
      </c>
      <c r="E13" s="15">
        <f t="shared" si="0"/>
        <v>7</v>
      </c>
      <c r="F13" s="16">
        <f t="shared" si="1"/>
        <v>2.7450980392156765E-2</v>
      </c>
      <c r="G13" s="15">
        <f t="shared" si="2"/>
        <v>12</v>
      </c>
      <c r="H13" s="16">
        <f t="shared" si="3"/>
        <v>4.8000000000000043E-2</v>
      </c>
      <c r="I13" s="3"/>
    </row>
    <row r="14" spans="1:9" x14ac:dyDescent="0.3">
      <c r="A14" s="5" t="s">
        <v>325</v>
      </c>
      <c r="B14" s="14">
        <v>52</v>
      </c>
      <c r="C14" s="14">
        <v>48</v>
      </c>
      <c r="D14" s="14">
        <v>86</v>
      </c>
      <c r="E14" s="15">
        <f t="shared" si="0"/>
        <v>38</v>
      </c>
      <c r="F14" s="16">
        <f t="shared" si="1"/>
        <v>0.79166666666666674</v>
      </c>
      <c r="G14" s="15">
        <f t="shared" si="2"/>
        <v>34</v>
      </c>
      <c r="H14" s="16">
        <f t="shared" si="3"/>
        <v>0.65384615384615374</v>
      </c>
      <c r="I14" s="3" t="s">
        <v>326</v>
      </c>
    </row>
    <row r="15" spans="1:9" x14ac:dyDescent="0.3">
      <c r="A15" s="17" t="s">
        <v>11</v>
      </c>
      <c r="B15" s="18">
        <f>B12-B13-B14</f>
        <v>596</v>
      </c>
      <c r="C15" s="18">
        <f>C12-C13-C14</f>
        <v>624</v>
      </c>
      <c r="D15" s="18">
        <f>D12-D13-D14</f>
        <v>569</v>
      </c>
      <c r="E15" s="15">
        <f t="shared" si="0"/>
        <v>-55</v>
      </c>
      <c r="F15" s="16">
        <f t="shared" si="1"/>
        <v>-8.8141025641025661E-2</v>
      </c>
      <c r="G15" s="15">
        <f t="shared" si="2"/>
        <v>-27</v>
      </c>
      <c r="H15" s="16">
        <f t="shared" si="3"/>
        <v>-4.530201342281881E-2</v>
      </c>
      <c r="I15" s="3"/>
    </row>
    <row r="16" spans="1:9" x14ac:dyDescent="0.3">
      <c r="A16" s="20" t="s">
        <v>327</v>
      </c>
      <c r="B16" s="21"/>
      <c r="C16" s="21"/>
      <c r="D16" s="21"/>
      <c r="E16" s="21"/>
      <c r="F16" s="21"/>
      <c r="G16" s="21"/>
      <c r="H16" s="21"/>
      <c r="I16" s="21"/>
    </row>
    <row r="17" spans="1:9" x14ac:dyDescent="0.3">
      <c r="A17" s="5" t="s">
        <v>12</v>
      </c>
      <c r="B17" s="14">
        <v>56900</v>
      </c>
      <c r="C17" s="14">
        <v>60500</v>
      </c>
      <c r="D17" s="14">
        <v>58400</v>
      </c>
      <c r="E17" s="15">
        <f t="shared" ref="E17:E27" si="4">D17-C17</f>
        <v>-2100</v>
      </c>
      <c r="F17" s="16">
        <f>IFERROR(D17/C17-1,0)</f>
        <v>-3.4710743801652844E-2</v>
      </c>
      <c r="G17" s="15">
        <f t="shared" ref="G17:G27" si="5">D17-B17</f>
        <v>1500</v>
      </c>
      <c r="H17" s="16">
        <f>IFERROR(D17/B17-1,0)</f>
        <v>2.6362038664323295E-2</v>
      </c>
      <c r="I17" s="3"/>
    </row>
    <row r="18" spans="1:9" x14ac:dyDescent="0.3">
      <c r="A18" s="5" t="s">
        <v>328</v>
      </c>
      <c r="B18" s="14">
        <v>10300</v>
      </c>
      <c r="C18" s="14">
        <v>11500</v>
      </c>
      <c r="D18" s="14">
        <v>9650</v>
      </c>
      <c r="E18" s="15">
        <f t="shared" si="4"/>
        <v>-1850</v>
      </c>
      <c r="F18" s="16">
        <f>IFERROR(D18/C18-1,0)</f>
        <v>-0.16086956521739126</v>
      </c>
      <c r="G18" s="15">
        <f t="shared" si="5"/>
        <v>-650</v>
      </c>
      <c r="H18" s="16">
        <f>IFERROR(D18/B18-1,0)</f>
        <v>-6.3106796116504826E-2</v>
      </c>
      <c r="I18" s="3"/>
    </row>
    <row r="19" spans="1:9" x14ac:dyDescent="0.3">
      <c r="A19" s="5" t="s">
        <v>13</v>
      </c>
      <c r="B19" s="16">
        <f>B18/B17</f>
        <v>0.18101933216168717</v>
      </c>
      <c r="C19" s="16">
        <f>C18/C17</f>
        <v>0.19008264462809918</v>
      </c>
      <c r="D19" s="16">
        <f>D18/D17</f>
        <v>0.16523972602739725</v>
      </c>
      <c r="E19" s="16">
        <f t="shared" si="4"/>
        <v>-2.4842918600701924E-2</v>
      </c>
      <c r="F19" s="5" t="s">
        <v>329</v>
      </c>
      <c r="G19" s="16">
        <f t="shared" si="5"/>
        <v>-1.5779606134289914E-2</v>
      </c>
      <c r="H19" s="5" t="s">
        <v>329</v>
      </c>
      <c r="I19" s="3"/>
    </row>
    <row r="20" spans="1:9" x14ac:dyDescent="0.3">
      <c r="A20" s="5" t="s">
        <v>15</v>
      </c>
      <c r="B20" s="14">
        <v>19800</v>
      </c>
      <c r="C20" s="14">
        <v>21000</v>
      </c>
      <c r="D20" s="14">
        <v>21600</v>
      </c>
      <c r="E20" s="15">
        <f t="shared" si="4"/>
        <v>600</v>
      </c>
      <c r="F20" s="16">
        <f>IFERROR(D20/C20-1,0)</f>
        <v>2.857142857142847E-2</v>
      </c>
      <c r="G20" s="15">
        <f t="shared" si="5"/>
        <v>1800</v>
      </c>
      <c r="H20" s="16">
        <f>IFERROR(D20/B20-1,0)</f>
        <v>9.0909090909090828E-2</v>
      </c>
      <c r="I20" s="3"/>
    </row>
    <row r="21" spans="1:9" x14ac:dyDescent="0.3">
      <c r="A21" s="5" t="s">
        <v>330</v>
      </c>
      <c r="B21" s="14">
        <v>6900</v>
      </c>
      <c r="C21" s="14">
        <v>7100</v>
      </c>
      <c r="D21" s="14">
        <v>8450</v>
      </c>
      <c r="E21" s="15">
        <f t="shared" si="4"/>
        <v>1350</v>
      </c>
      <c r="F21" s="16">
        <f>IFERROR(D21/C21-1,0)</f>
        <v>0.1901408450704225</v>
      </c>
      <c r="G21" s="15">
        <f t="shared" si="5"/>
        <v>1550</v>
      </c>
      <c r="H21" s="16">
        <f>IFERROR(D21/B21-1,0)</f>
        <v>0.2246376811594204</v>
      </c>
      <c r="I21" s="3" t="s">
        <v>331</v>
      </c>
    </row>
    <row r="22" spans="1:9" x14ac:dyDescent="0.3">
      <c r="A22" s="5" t="s">
        <v>332</v>
      </c>
      <c r="B22" s="16">
        <f>B21/B20</f>
        <v>0.34848484848484851</v>
      </c>
      <c r="C22" s="16">
        <f>C21/C20</f>
        <v>0.33809523809523812</v>
      </c>
      <c r="D22" s="16">
        <f>D21/D20</f>
        <v>0.39120370370370372</v>
      </c>
      <c r="E22" s="16">
        <f t="shared" si="4"/>
        <v>5.3108465608465605E-2</v>
      </c>
      <c r="F22" s="5" t="s">
        <v>329</v>
      </c>
      <c r="G22" s="16">
        <f t="shared" si="5"/>
        <v>4.2718855218855212E-2</v>
      </c>
      <c r="H22" s="5" t="s">
        <v>329</v>
      </c>
      <c r="I22" s="3"/>
    </row>
    <row r="23" spans="1:9" x14ac:dyDescent="0.3">
      <c r="A23" s="5" t="s">
        <v>333</v>
      </c>
      <c r="B23" s="22">
        <v>1.9E-2</v>
      </c>
      <c r="C23" s="22">
        <v>1.7999999999999999E-2</v>
      </c>
      <c r="D23" s="22">
        <v>2.9000000000000001E-2</v>
      </c>
      <c r="E23" s="16">
        <f t="shared" si="4"/>
        <v>1.1000000000000003E-2</v>
      </c>
      <c r="F23" s="5" t="s">
        <v>329</v>
      </c>
      <c r="G23" s="16">
        <f t="shared" si="5"/>
        <v>1.0000000000000002E-2</v>
      </c>
      <c r="H23" s="5" t="s">
        <v>329</v>
      </c>
      <c r="I23" s="3"/>
    </row>
    <row r="24" spans="1:9" x14ac:dyDescent="0.3">
      <c r="A24" s="5" t="s">
        <v>334</v>
      </c>
      <c r="B24" s="22">
        <v>9.4999999999999998E-3</v>
      </c>
      <c r="C24" s="22">
        <v>0.01</v>
      </c>
      <c r="D24" s="22">
        <v>1.32E-2</v>
      </c>
      <c r="E24" s="16">
        <f t="shared" si="4"/>
        <v>3.1999999999999997E-3</v>
      </c>
      <c r="F24" s="5" t="s">
        <v>329</v>
      </c>
      <c r="G24" s="16">
        <f t="shared" si="5"/>
        <v>3.7000000000000002E-3</v>
      </c>
      <c r="H24" s="5" t="s">
        <v>329</v>
      </c>
      <c r="I24" s="3"/>
    </row>
    <row r="25" spans="1:9" x14ac:dyDescent="0.3">
      <c r="A25" s="5" t="s">
        <v>335</v>
      </c>
      <c r="B25" s="14">
        <v>95700</v>
      </c>
      <c r="C25" s="14">
        <v>101000</v>
      </c>
      <c r="D25" s="14">
        <v>98500</v>
      </c>
      <c r="E25" s="15">
        <f t="shared" si="4"/>
        <v>-2500</v>
      </c>
      <c r="F25" s="16">
        <f>IFERROR(D25/C25-1,0)</f>
        <v>-2.4752475247524774E-2</v>
      </c>
      <c r="G25" s="15">
        <f t="shared" si="5"/>
        <v>2800</v>
      </c>
      <c r="H25" s="16">
        <f>IFERROR(D25/B25-1,0)</f>
        <v>2.925809822361547E-2</v>
      </c>
      <c r="I25" s="3" t="s">
        <v>336</v>
      </c>
    </row>
    <row r="26" spans="1:9" x14ac:dyDescent="0.3">
      <c r="A26" s="5" t="s">
        <v>337</v>
      </c>
      <c r="B26" s="14">
        <v>19050</v>
      </c>
      <c r="C26" s="14">
        <v>19600</v>
      </c>
      <c r="D26" s="14">
        <v>19240</v>
      </c>
      <c r="E26" s="15">
        <f t="shared" si="4"/>
        <v>-360</v>
      </c>
      <c r="F26" s="16">
        <f>IFERROR(D26/C26-1,0)</f>
        <v>-1.8367346938775508E-2</v>
      </c>
      <c r="G26" s="15">
        <f t="shared" si="5"/>
        <v>190</v>
      </c>
      <c r="H26" s="16">
        <f>IFERROR(D26/B26-1,0)</f>
        <v>9.9737532808399365E-3</v>
      </c>
      <c r="I26" s="3"/>
    </row>
    <row r="27" spans="1:9" x14ac:dyDescent="0.3">
      <c r="A27" s="5" t="s">
        <v>338</v>
      </c>
      <c r="B27" s="14">
        <v>240</v>
      </c>
      <c r="C27" s="14">
        <v>240</v>
      </c>
      <c r="D27" s="14">
        <v>240</v>
      </c>
      <c r="E27" s="15">
        <f t="shared" si="4"/>
        <v>0</v>
      </c>
      <c r="F27" s="16">
        <f>IFERROR(D27/C27-1,0)</f>
        <v>0</v>
      </c>
      <c r="G27" s="15">
        <f t="shared" si="5"/>
        <v>0</v>
      </c>
      <c r="H27" s="16">
        <f>IFERROR(D27/B27-1,0)</f>
        <v>0</v>
      </c>
      <c r="I27" s="3"/>
    </row>
    <row r="28" spans="1:9" x14ac:dyDescent="0.3">
      <c r="A28" s="20" t="s">
        <v>339</v>
      </c>
      <c r="B28" s="21"/>
      <c r="C28" s="21"/>
      <c r="D28" s="21"/>
      <c r="E28" s="21"/>
      <c r="F28" s="21"/>
      <c r="G28" s="21"/>
      <c r="H28" s="21"/>
      <c r="I28" s="21"/>
    </row>
    <row r="29" spans="1:9" x14ac:dyDescent="0.3">
      <c r="A29" s="5" t="s">
        <v>340</v>
      </c>
      <c r="B29" s="16">
        <f>B7/B11</f>
        <v>0.46979865771812079</v>
      </c>
      <c r="C29" s="16">
        <f>C7/C11</f>
        <v>0.40666666666666668</v>
      </c>
      <c r="D29" s="16">
        <f>D7/D11</f>
        <v>0.52012383900928794</v>
      </c>
      <c r="E29" s="16">
        <f>D29-C29</f>
        <v>0.11345717234262126</v>
      </c>
      <c r="F29" s="5" t="s">
        <v>329</v>
      </c>
      <c r="G29" s="16">
        <f>D29-B29</f>
        <v>5.0325181291167143E-2</v>
      </c>
      <c r="H29" s="5" t="s">
        <v>329</v>
      </c>
      <c r="I29" s="3"/>
    </row>
    <row r="30" spans="1:9" x14ac:dyDescent="0.3">
      <c r="A30" s="5" t="s">
        <v>341</v>
      </c>
      <c r="B30" s="16">
        <f>B13/B12</f>
        <v>0.27839643652561247</v>
      </c>
      <c r="C30" s="16">
        <f>C13/C12</f>
        <v>0.27508090614886732</v>
      </c>
      <c r="D30" s="16">
        <f>D13/D12</f>
        <v>0.2857142857142857</v>
      </c>
      <c r="E30" s="16">
        <f>D30-C30</f>
        <v>1.0633379565418377E-2</v>
      </c>
      <c r="F30" s="5" t="s">
        <v>329</v>
      </c>
      <c r="G30" s="16">
        <f>D30-B30</f>
        <v>7.3178491886732311E-3</v>
      </c>
      <c r="H30" s="5" t="s">
        <v>329</v>
      </c>
      <c r="I30" s="3"/>
    </row>
    <row r="31" spans="1:9" x14ac:dyDescent="0.3">
      <c r="A31" s="5" t="s">
        <v>342</v>
      </c>
      <c r="B31" s="23">
        <f>B12/B27</f>
        <v>3.7416666666666667</v>
      </c>
      <c r="C31" s="23">
        <f>C12/C27</f>
        <v>3.8624999999999998</v>
      </c>
      <c r="D31" s="23">
        <f>D12/D27</f>
        <v>3.8208333333333333</v>
      </c>
      <c r="E31" s="23">
        <f>D31-C31</f>
        <v>-4.1666666666666519E-2</v>
      </c>
      <c r="F31" s="16">
        <f>IFERROR(D31/C31-1,0)</f>
        <v>-1.0787486515641764E-2</v>
      </c>
      <c r="G31" s="23">
        <f>D31-B31</f>
        <v>7.9166666666666607E-2</v>
      </c>
      <c r="H31" s="16">
        <f>IFERROR(D31/B31-1,0)</f>
        <v>2.1158129175946616E-2</v>
      </c>
      <c r="I31" s="3"/>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3"/>
  <sheetViews>
    <sheetView workbookViewId="0">
      <pane ySplit="4" topLeftCell="A5" activePane="bottomLeft" state="frozen"/>
      <selection pane="bottomLeft"/>
    </sheetView>
  </sheetViews>
  <sheetFormatPr defaultRowHeight="14.4" x14ac:dyDescent="0.3"/>
  <cols>
    <col min="1" max="1" width="12" customWidth="1"/>
    <col min="2" max="2" width="52" customWidth="1"/>
    <col min="3" max="3" width="18" customWidth="1"/>
    <col min="4" max="5" width="14" customWidth="1"/>
  </cols>
  <sheetData>
    <row r="1" spans="1:5" ht="17.399999999999999" x14ac:dyDescent="0.3">
      <c r="A1" s="1" t="s">
        <v>343</v>
      </c>
      <c r="B1" s="2"/>
      <c r="C1" s="2"/>
      <c r="D1" s="2"/>
      <c r="E1" s="2"/>
    </row>
    <row r="2" spans="1:5" x14ac:dyDescent="0.3">
      <c r="A2" s="3" t="s">
        <v>344</v>
      </c>
      <c r="B2" s="2"/>
      <c r="C2" s="2"/>
      <c r="D2" s="2"/>
      <c r="E2" s="2"/>
    </row>
    <row r="3" spans="1:5" x14ac:dyDescent="0.3">
      <c r="A3" s="2"/>
      <c r="B3" s="2"/>
      <c r="C3" s="2"/>
      <c r="D3" s="2"/>
      <c r="E3" s="2"/>
    </row>
    <row r="4" spans="1:5" x14ac:dyDescent="0.3">
      <c r="A4" s="4" t="s">
        <v>345</v>
      </c>
      <c r="B4" s="4" t="s">
        <v>346</v>
      </c>
      <c r="C4" s="4" t="s">
        <v>347</v>
      </c>
      <c r="D4" s="4" t="s">
        <v>348</v>
      </c>
      <c r="E4" s="4" t="s">
        <v>349</v>
      </c>
    </row>
    <row r="5" spans="1:5" x14ac:dyDescent="0.3">
      <c r="A5" s="5" t="s">
        <v>350</v>
      </c>
      <c r="B5" s="5" t="s">
        <v>351</v>
      </c>
      <c r="C5" s="5" t="s">
        <v>352</v>
      </c>
      <c r="D5" s="14">
        <v>4200</v>
      </c>
      <c r="E5" s="14">
        <v>0</v>
      </c>
    </row>
    <row r="6" spans="1:5" x14ac:dyDescent="0.3">
      <c r="A6" s="5" t="s">
        <v>353</v>
      </c>
      <c r="B6" s="5" t="s">
        <v>354</v>
      </c>
      <c r="C6" s="5" t="s">
        <v>352</v>
      </c>
      <c r="D6" s="14">
        <v>9800</v>
      </c>
      <c r="E6" s="14">
        <v>0</v>
      </c>
    </row>
    <row r="7" spans="1:5" x14ac:dyDescent="0.3">
      <c r="A7" s="5" t="s">
        <v>355</v>
      </c>
      <c r="B7" s="5" t="s">
        <v>356</v>
      </c>
      <c r="C7" s="5" t="s">
        <v>352</v>
      </c>
      <c r="D7" s="14">
        <v>38500</v>
      </c>
      <c r="E7" s="14">
        <v>0</v>
      </c>
    </row>
    <row r="8" spans="1:5" x14ac:dyDescent="0.3">
      <c r="A8" s="5" t="s">
        <v>357</v>
      </c>
      <c r="B8" s="5" t="s">
        <v>358</v>
      </c>
      <c r="C8" s="5" t="s">
        <v>352</v>
      </c>
      <c r="D8" s="14">
        <v>2100</v>
      </c>
      <c r="E8" s="14">
        <v>0</v>
      </c>
    </row>
    <row r="9" spans="1:5" x14ac:dyDescent="0.3">
      <c r="A9" s="5" t="s">
        <v>359</v>
      </c>
      <c r="B9" s="5" t="s">
        <v>360</v>
      </c>
      <c r="C9" s="5" t="s">
        <v>352</v>
      </c>
      <c r="D9" s="14">
        <v>52600</v>
      </c>
      <c r="E9" s="14">
        <v>0</v>
      </c>
    </row>
    <row r="10" spans="1:5" x14ac:dyDescent="0.3">
      <c r="A10" s="5" t="s">
        <v>361</v>
      </c>
      <c r="B10" s="5" t="s">
        <v>362</v>
      </c>
      <c r="C10" s="5" t="s">
        <v>352</v>
      </c>
      <c r="D10" s="14">
        <v>196000</v>
      </c>
      <c r="E10" s="14">
        <v>0</v>
      </c>
    </row>
    <row r="11" spans="1:5" x14ac:dyDescent="0.3">
      <c r="A11" s="5" t="s">
        <v>363</v>
      </c>
      <c r="B11" s="5" t="s">
        <v>364</v>
      </c>
      <c r="C11" s="5" t="s">
        <v>365</v>
      </c>
      <c r="D11" s="14">
        <v>0</v>
      </c>
      <c r="E11" s="14">
        <v>3050</v>
      </c>
    </row>
    <row r="12" spans="1:5" x14ac:dyDescent="0.3">
      <c r="A12" s="5" t="s">
        <v>366</v>
      </c>
      <c r="B12" s="5" t="s">
        <v>367</v>
      </c>
      <c r="C12" s="5" t="s">
        <v>352</v>
      </c>
      <c r="D12" s="14">
        <v>2900</v>
      </c>
      <c r="E12" s="14">
        <v>0</v>
      </c>
    </row>
    <row r="13" spans="1:5" x14ac:dyDescent="0.3">
      <c r="A13" s="5" t="s">
        <v>368</v>
      </c>
      <c r="B13" s="5" t="s">
        <v>369</v>
      </c>
      <c r="C13" s="5" t="s">
        <v>352</v>
      </c>
      <c r="D13" s="14">
        <v>25100</v>
      </c>
      <c r="E13" s="14">
        <v>0</v>
      </c>
    </row>
    <row r="14" spans="1:5" x14ac:dyDescent="0.3">
      <c r="A14" s="5" t="s">
        <v>370</v>
      </c>
      <c r="B14" s="5" t="s">
        <v>371</v>
      </c>
      <c r="C14" s="5" t="s">
        <v>372</v>
      </c>
      <c r="D14" s="14">
        <v>0</v>
      </c>
      <c r="E14" s="14">
        <v>41200</v>
      </c>
    </row>
    <row r="15" spans="1:5" x14ac:dyDescent="0.3">
      <c r="A15" s="5" t="s">
        <v>373</v>
      </c>
      <c r="B15" s="5" t="s">
        <v>374</v>
      </c>
      <c r="C15" s="5" t="s">
        <v>372</v>
      </c>
      <c r="D15" s="14">
        <v>0</v>
      </c>
      <c r="E15" s="14">
        <v>232400</v>
      </c>
    </row>
    <row r="16" spans="1:5" x14ac:dyDescent="0.3">
      <c r="A16" s="5" t="s">
        <v>375</v>
      </c>
      <c r="B16" s="5" t="s">
        <v>376</v>
      </c>
      <c r="C16" s="5" t="s">
        <v>372</v>
      </c>
      <c r="D16" s="14">
        <v>0</v>
      </c>
      <c r="E16" s="14">
        <v>18600</v>
      </c>
    </row>
    <row r="17" spans="1:5" x14ac:dyDescent="0.3">
      <c r="A17" s="5" t="s">
        <v>377</v>
      </c>
      <c r="B17" s="5" t="s">
        <v>378</v>
      </c>
      <c r="C17" s="5" t="s">
        <v>372</v>
      </c>
      <c r="D17" s="14">
        <v>0</v>
      </c>
      <c r="E17" s="14">
        <v>6300</v>
      </c>
    </row>
    <row r="18" spans="1:5" x14ac:dyDescent="0.3">
      <c r="A18" s="5" t="s">
        <v>379</v>
      </c>
      <c r="B18" s="5" t="s">
        <v>380</v>
      </c>
      <c r="C18" s="5" t="s">
        <v>381</v>
      </c>
      <c r="D18" s="14">
        <v>0</v>
      </c>
      <c r="E18" s="14">
        <v>15800</v>
      </c>
    </row>
    <row r="19" spans="1:5" x14ac:dyDescent="0.3">
      <c r="A19" s="5" t="s">
        <v>382</v>
      </c>
      <c r="B19" s="5" t="s">
        <v>383</v>
      </c>
      <c r="C19" s="5" t="s">
        <v>381</v>
      </c>
      <c r="D19" s="14">
        <v>0</v>
      </c>
      <c r="E19" s="14">
        <v>1200</v>
      </c>
    </row>
    <row r="20" spans="1:5" x14ac:dyDescent="0.3">
      <c r="A20" s="5" t="s">
        <v>384</v>
      </c>
      <c r="B20" s="5" t="s">
        <v>385</v>
      </c>
      <c r="C20" s="5" t="s">
        <v>381</v>
      </c>
      <c r="D20" s="14">
        <v>0</v>
      </c>
      <c r="E20" s="14">
        <v>2900</v>
      </c>
    </row>
    <row r="21" spans="1:5" x14ac:dyDescent="0.3">
      <c r="A21" s="5" t="s">
        <v>386</v>
      </c>
      <c r="B21" s="5" t="s">
        <v>387</v>
      </c>
      <c r="C21" s="5" t="s">
        <v>381</v>
      </c>
      <c r="D21" s="14">
        <v>0</v>
      </c>
      <c r="E21" s="14">
        <v>5350</v>
      </c>
    </row>
    <row r="22" spans="1:5" x14ac:dyDescent="0.3">
      <c r="A22" s="5" t="s">
        <v>388</v>
      </c>
      <c r="B22" s="5" t="s">
        <v>389</v>
      </c>
      <c r="C22" s="5" t="s">
        <v>390</v>
      </c>
      <c r="D22" s="14">
        <v>0</v>
      </c>
      <c r="E22" s="14">
        <v>22400</v>
      </c>
    </row>
    <row r="23" spans="1:5" x14ac:dyDescent="0.3">
      <c r="A23" s="5" t="s">
        <v>391</v>
      </c>
      <c r="B23" s="5" t="s">
        <v>392</v>
      </c>
      <c r="C23" s="5" t="s">
        <v>390</v>
      </c>
      <c r="D23" s="14">
        <v>0</v>
      </c>
      <c r="E23" s="14">
        <v>3150</v>
      </c>
    </row>
    <row r="24" spans="1:5" x14ac:dyDescent="0.3">
      <c r="A24" s="5" t="s">
        <v>393</v>
      </c>
      <c r="B24" s="5" t="s">
        <v>394</v>
      </c>
      <c r="C24" s="5" t="s">
        <v>390</v>
      </c>
      <c r="D24" s="14">
        <v>0</v>
      </c>
      <c r="E24" s="14">
        <v>520</v>
      </c>
    </row>
    <row r="25" spans="1:5" x14ac:dyDescent="0.3">
      <c r="A25" s="5" t="s">
        <v>395</v>
      </c>
      <c r="B25" s="5" t="s">
        <v>396</v>
      </c>
      <c r="C25" s="5" t="s">
        <v>390</v>
      </c>
      <c r="D25" s="14">
        <v>0</v>
      </c>
      <c r="E25" s="14">
        <v>410</v>
      </c>
    </row>
    <row r="26" spans="1:5" x14ac:dyDescent="0.3">
      <c r="A26" s="5" t="s">
        <v>397</v>
      </c>
      <c r="B26" s="5" t="s">
        <v>398</v>
      </c>
      <c r="C26" s="5" t="s">
        <v>390</v>
      </c>
      <c r="D26" s="14">
        <v>0</v>
      </c>
      <c r="E26" s="14">
        <v>260</v>
      </c>
    </row>
    <row r="27" spans="1:5" x14ac:dyDescent="0.3">
      <c r="A27" s="5" t="s">
        <v>399</v>
      </c>
      <c r="B27" s="5" t="s">
        <v>400</v>
      </c>
      <c r="C27" s="5" t="s">
        <v>401</v>
      </c>
      <c r="D27" s="14">
        <v>13900</v>
      </c>
      <c r="E27" s="14">
        <v>0</v>
      </c>
    </row>
    <row r="28" spans="1:5" x14ac:dyDescent="0.3">
      <c r="A28" s="5" t="s">
        <v>402</v>
      </c>
      <c r="B28" s="5" t="s">
        <v>403</v>
      </c>
      <c r="C28" s="5" t="s">
        <v>401</v>
      </c>
      <c r="D28" s="14">
        <v>780</v>
      </c>
      <c r="E28" s="14">
        <v>0</v>
      </c>
    </row>
    <row r="29" spans="1:5" x14ac:dyDescent="0.3">
      <c r="A29" s="5" t="s">
        <v>404</v>
      </c>
      <c r="B29" s="5" t="s">
        <v>324</v>
      </c>
      <c r="C29" s="5" t="s">
        <v>401</v>
      </c>
      <c r="D29" s="14">
        <v>4350</v>
      </c>
      <c r="E29" s="14">
        <v>0</v>
      </c>
    </row>
    <row r="30" spans="1:5" x14ac:dyDescent="0.3">
      <c r="A30" s="5" t="s">
        <v>405</v>
      </c>
      <c r="B30" s="5" t="s">
        <v>325</v>
      </c>
      <c r="C30" s="5" t="s">
        <v>401</v>
      </c>
      <c r="D30" s="14">
        <v>2210</v>
      </c>
      <c r="E30" s="14">
        <v>0</v>
      </c>
    </row>
    <row r="31" spans="1:5" x14ac:dyDescent="0.3">
      <c r="A31" s="5" t="s">
        <v>406</v>
      </c>
      <c r="B31" s="5" t="s">
        <v>407</v>
      </c>
      <c r="C31" s="5" t="s">
        <v>401</v>
      </c>
      <c r="D31" s="14">
        <v>1100</v>
      </c>
      <c r="E31" s="14">
        <v>0</v>
      </c>
    </row>
    <row r="32" spans="1:5" x14ac:dyDescent="0.3">
      <c r="A32" s="2"/>
      <c r="B32" s="17" t="s">
        <v>408</v>
      </c>
      <c r="C32" s="2"/>
      <c r="D32" s="18">
        <f>SUM(D5:D31)</f>
        <v>353540</v>
      </c>
      <c r="E32" s="18">
        <f>SUM(E5:E31)</f>
        <v>353540</v>
      </c>
    </row>
    <row r="33" spans="1:5" x14ac:dyDescent="0.3">
      <c r="A33" s="2"/>
      <c r="B33" s="3" t="s">
        <v>409</v>
      </c>
      <c r="C33" s="2"/>
      <c r="D33" s="24">
        <f>D32-E32</f>
        <v>0</v>
      </c>
      <c r="E33" s="2"/>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7"/>
  <sheetViews>
    <sheetView workbookViewId="0">
      <pane xSplit="1" ySplit="4" topLeftCell="B5" activePane="bottomRight" state="frozen"/>
      <selection pane="topRight"/>
      <selection pane="bottomLeft"/>
      <selection pane="bottomRight"/>
    </sheetView>
  </sheetViews>
  <sheetFormatPr defaultRowHeight="14.4" x14ac:dyDescent="0.3"/>
  <cols>
    <col min="1" max="1" width="24" customWidth="1"/>
    <col min="2" max="2" width="12" customWidth="1"/>
    <col min="3" max="3" width="8" customWidth="1"/>
    <col min="4" max="5" width="9" customWidth="1"/>
    <col min="6" max="7" width="10" customWidth="1"/>
    <col min="8" max="9" width="11" customWidth="1"/>
    <col min="10" max="10" width="10" customWidth="1"/>
    <col min="11" max="11" width="12" customWidth="1"/>
    <col min="12" max="12" width="13" customWidth="1"/>
    <col min="13" max="13" width="15" customWidth="1"/>
    <col min="14" max="14" width="9" customWidth="1"/>
  </cols>
  <sheetData>
    <row r="1" spans="1:14" ht="17.399999999999999" x14ac:dyDescent="0.3">
      <c r="A1" s="1" t="s">
        <v>410</v>
      </c>
      <c r="B1" s="2"/>
      <c r="C1" s="2"/>
      <c r="D1" s="2"/>
      <c r="E1" s="2"/>
      <c r="F1" s="2"/>
      <c r="G1" s="2"/>
      <c r="H1" s="2"/>
      <c r="I1" s="2"/>
      <c r="J1" s="2"/>
      <c r="K1" s="2"/>
      <c r="L1" s="2"/>
      <c r="M1" s="2"/>
      <c r="N1" s="2"/>
    </row>
    <row r="2" spans="1:14" x14ac:dyDescent="0.3">
      <c r="A2" s="3" t="s">
        <v>411</v>
      </c>
      <c r="B2" s="2"/>
      <c r="C2" s="2"/>
      <c r="D2" s="2"/>
      <c r="E2" s="2"/>
      <c r="F2" s="2"/>
      <c r="G2" s="2"/>
      <c r="H2" s="2"/>
      <c r="I2" s="2"/>
      <c r="J2" s="2"/>
      <c r="K2" s="2"/>
      <c r="L2" s="2"/>
      <c r="M2" s="2"/>
      <c r="N2" s="2"/>
    </row>
    <row r="3" spans="1:14" x14ac:dyDescent="0.3">
      <c r="A3" s="2"/>
      <c r="B3" s="2"/>
      <c r="C3" s="2"/>
      <c r="D3" s="2"/>
      <c r="E3" s="2"/>
      <c r="F3" s="2"/>
      <c r="G3" s="2"/>
      <c r="H3" s="2"/>
      <c r="I3" s="2"/>
      <c r="J3" s="2"/>
      <c r="K3" s="2"/>
      <c r="L3" s="2"/>
      <c r="M3" s="2"/>
      <c r="N3" s="2"/>
    </row>
    <row r="4" spans="1:14" ht="27.6" x14ac:dyDescent="0.3">
      <c r="A4" s="4" t="s">
        <v>23</v>
      </c>
      <c r="B4" s="4" t="s">
        <v>24</v>
      </c>
      <c r="C4" s="4" t="s">
        <v>412</v>
      </c>
      <c r="D4" s="4" t="s">
        <v>26</v>
      </c>
      <c r="E4" s="4" t="s">
        <v>413</v>
      </c>
      <c r="F4" s="4" t="s">
        <v>17</v>
      </c>
      <c r="G4" s="4" t="s">
        <v>414</v>
      </c>
      <c r="H4" s="4" t="s">
        <v>27</v>
      </c>
      <c r="I4" s="4" t="s">
        <v>13</v>
      </c>
      <c r="J4" s="4" t="s">
        <v>29</v>
      </c>
      <c r="K4" s="4" t="s">
        <v>415</v>
      </c>
      <c r="L4" s="4" t="s">
        <v>416</v>
      </c>
      <c r="M4" s="4" t="s">
        <v>417</v>
      </c>
      <c r="N4" s="4" t="s">
        <v>418</v>
      </c>
    </row>
    <row r="5" spans="1:14" x14ac:dyDescent="0.3">
      <c r="A5" s="5" t="s">
        <v>34</v>
      </c>
      <c r="B5" s="5" t="s">
        <v>35</v>
      </c>
      <c r="C5" s="6">
        <f>COUNTIF('Danh mục RM'!$B$5:$B$244,$A5)</f>
        <v>30</v>
      </c>
      <c r="D5" s="6">
        <f>SUMIFS('Danh mục RM'!$E$5:$E$244,'Danh mục RM'!$B$5:$B$244,$A5)</f>
        <v>2251</v>
      </c>
      <c r="E5" s="23">
        <f t="shared" ref="E5:E17" si="0">IFERROR(D5/C5,0)</f>
        <v>75.033333333333331</v>
      </c>
      <c r="F5" s="6">
        <f>SUMIFS('Danh mục RM'!$I$5:$I$244,'Danh mục RM'!$B$5:$B$244,$A5)</f>
        <v>13471.999999999996</v>
      </c>
      <c r="G5" s="25">
        <f t="shared" ref="G5:G17" si="1">IFERROR(F5/D5,0)</f>
        <v>5.9848956019546851</v>
      </c>
      <c r="H5" s="6">
        <f>SUMIFS('Danh mục RM'!$F$5:$F$244,'Danh mục RM'!$B$5:$B$244,$A5)</f>
        <v>7906</v>
      </c>
      <c r="I5" s="8">
        <f>IFERROR(SUMIFS('Danh mục RM'!$G$5:$G$244,'Danh mục RM'!$B$5:$B$244,$A5)/H5,0)</f>
        <v>0.16878320263091318</v>
      </c>
      <c r="J5" s="6">
        <f>SUMIFS('Danh mục RM'!$H$5:$H$244,'Danh mục RM'!$B$5:$B$244,$A5)</f>
        <v>2465.2000000000003</v>
      </c>
      <c r="K5" s="26">
        <f>SUMIFS('Danh mục RM'!$J$5:$J$244,'Danh mục RM'!$B$5:$B$244,$A5)+SUMIFS('Danh mục RM'!$K$5:$K$244,'Danh mục RM'!$B$5:$B$244,$A5)+SUMIFS('Danh mục RM'!$L$5:$L$244,'Danh mục RM'!$B$5:$B$244,$A5)</f>
        <v>110.03999999999999</v>
      </c>
      <c r="L5" s="25">
        <f t="shared" ref="L5:L17" si="2">IFERROR(K5/C5,0)</f>
        <v>3.6679999999999997</v>
      </c>
      <c r="M5" s="27">
        <v>31.5</v>
      </c>
      <c r="N5" s="16">
        <f t="shared" ref="N5:N17" si="3">IFERROR(M5/K5,0)</f>
        <v>0.28625954198473286</v>
      </c>
    </row>
    <row r="6" spans="1:14" x14ac:dyDescent="0.3">
      <c r="A6" s="5" t="s">
        <v>66</v>
      </c>
      <c r="B6" s="5" t="s">
        <v>35</v>
      </c>
      <c r="C6" s="6">
        <f>COUNTIF('Danh mục RM'!$B$5:$B$244,$A6)</f>
        <v>22</v>
      </c>
      <c r="D6" s="6">
        <f>SUMIFS('Danh mục RM'!$E$5:$E$244,'Danh mục RM'!$B$5:$B$244,$A6)</f>
        <v>1703</v>
      </c>
      <c r="E6" s="23">
        <f t="shared" si="0"/>
        <v>77.409090909090907</v>
      </c>
      <c r="F6" s="6">
        <f>SUMIFS('Danh mục RM'!$I$5:$I$244,'Danh mục RM'!$B$5:$B$244,$A6)</f>
        <v>9601.9000000000015</v>
      </c>
      <c r="G6" s="25">
        <f t="shared" si="1"/>
        <v>5.6382266588373469</v>
      </c>
      <c r="H6" s="6">
        <f>SUMIFS('Danh mục RM'!$F$5:$F$244,'Danh mục RM'!$B$5:$B$244,$A6)</f>
        <v>5553.6</v>
      </c>
      <c r="I6" s="8">
        <f>IFERROR(SUMIFS('Danh mục RM'!$G$5:$G$244,'Danh mục RM'!$B$5:$B$244,$A6)/H6,0)</f>
        <v>0.16418179199078076</v>
      </c>
      <c r="J6" s="6">
        <f>SUMIFS('Danh mục RM'!$H$5:$H$244,'Danh mục RM'!$B$5:$B$244,$A6)</f>
        <v>2264.8999999999996</v>
      </c>
      <c r="K6" s="26">
        <f>SUMIFS('Danh mục RM'!$J$5:$J$244,'Danh mục RM'!$B$5:$B$244,$A6)+SUMIFS('Danh mục RM'!$K$5:$K$244,'Danh mục RM'!$B$5:$B$244,$A6)+SUMIFS('Danh mục RM'!$L$5:$L$244,'Danh mục RM'!$B$5:$B$244,$A6)</f>
        <v>82.76</v>
      </c>
      <c r="L6" s="25">
        <f t="shared" si="2"/>
        <v>3.7618181818181822</v>
      </c>
      <c r="M6" s="27">
        <v>23.9</v>
      </c>
      <c r="N6" s="16">
        <f t="shared" si="3"/>
        <v>0.28878685355244077</v>
      </c>
    </row>
    <row r="7" spans="1:14" x14ac:dyDescent="0.3">
      <c r="A7" s="5" t="s">
        <v>89</v>
      </c>
      <c r="B7" s="5" t="s">
        <v>35</v>
      </c>
      <c r="C7" s="6">
        <f>COUNTIF('Danh mục RM'!$B$5:$B$244,$A7)</f>
        <v>20</v>
      </c>
      <c r="D7" s="6">
        <f>SUMIFS('Danh mục RM'!$E$5:$E$244,'Danh mục RM'!$B$5:$B$244,$A7)</f>
        <v>1728</v>
      </c>
      <c r="E7" s="23">
        <f t="shared" si="0"/>
        <v>86.4</v>
      </c>
      <c r="F7" s="6">
        <f>SUMIFS('Danh mục RM'!$I$5:$I$244,'Danh mục RM'!$B$5:$B$244,$A7)</f>
        <v>12581.800000000001</v>
      </c>
      <c r="G7" s="25">
        <f t="shared" si="1"/>
        <v>7.2811342592592601</v>
      </c>
      <c r="H7" s="6">
        <f>SUMIFS('Danh mục RM'!$F$5:$F$244,'Danh mục RM'!$B$5:$B$244,$A7)</f>
        <v>7814.6000000000022</v>
      </c>
      <c r="I7" s="8">
        <f>IFERROR(SUMIFS('Danh mục RM'!$G$5:$G$244,'Danh mục RM'!$B$5:$B$244,$A7)/H7,0)</f>
        <v>0.19184603178665574</v>
      </c>
      <c r="J7" s="6">
        <f>SUMIFS('Danh mục RM'!$H$5:$H$244,'Danh mục RM'!$B$5:$B$244,$A7)</f>
        <v>1769.1000000000004</v>
      </c>
      <c r="K7" s="26">
        <f>SUMIFS('Danh mục RM'!$J$5:$J$244,'Danh mục RM'!$B$5:$B$244,$A7)+SUMIFS('Danh mục RM'!$K$5:$K$244,'Danh mục RM'!$B$5:$B$244,$A7)+SUMIFS('Danh mục RM'!$L$5:$L$244,'Danh mục RM'!$B$5:$B$244,$A7)</f>
        <v>86.949999999999989</v>
      </c>
      <c r="L7" s="25">
        <f t="shared" si="2"/>
        <v>4.3474999999999993</v>
      </c>
      <c r="M7" s="27">
        <v>20.2</v>
      </c>
      <c r="N7" s="16">
        <f t="shared" si="3"/>
        <v>0.23231742380678552</v>
      </c>
    </row>
    <row r="8" spans="1:14" x14ac:dyDescent="0.3">
      <c r="A8" s="5" t="s">
        <v>110</v>
      </c>
      <c r="B8" s="5" t="s">
        <v>35</v>
      </c>
      <c r="C8" s="6">
        <f>COUNTIF('Danh mục RM'!$B$5:$B$244,$A8)</f>
        <v>18</v>
      </c>
      <c r="D8" s="6">
        <f>SUMIFS('Danh mục RM'!$E$5:$E$244,'Danh mục RM'!$B$5:$B$244,$A8)</f>
        <v>1325</v>
      </c>
      <c r="E8" s="23">
        <f t="shared" si="0"/>
        <v>73.611111111111114</v>
      </c>
      <c r="F8" s="6">
        <f>SUMIFS('Danh mục RM'!$I$5:$I$244,'Danh mục RM'!$B$5:$B$244,$A8)</f>
        <v>5767</v>
      </c>
      <c r="G8" s="25">
        <f t="shared" si="1"/>
        <v>4.3524528301886791</v>
      </c>
      <c r="H8" s="6">
        <f>SUMIFS('Danh mục RM'!$F$5:$F$244,'Danh mục RM'!$B$5:$B$244,$A8)</f>
        <v>3305.9000000000005</v>
      </c>
      <c r="I8" s="8">
        <f>IFERROR(SUMIFS('Danh mục RM'!$G$5:$G$244,'Danh mục RM'!$B$5:$B$244,$A8)/H8,0)</f>
        <v>0.14407574336791795</v>
      </c>
      <c r="J8" s="6">
        <f>SUMIFS('Danh mục RM'!$H$5:$H$244,'Danh mục RM'!$B$5:$B$244,$A8)</f>
        <v>1665.9</v>
      </c>
      <c r="K8" s="26">
        <f>SUMIFS('Danh mục RM'!$J$5:$J$244,'Danh mục RM'!$B$5:$B$244,$A8)+SUMIFS('Danh mục RM'!$K$5:$K$244,'Danh mục RM'!$B$5:$B$244,$A8)+SUMIFS('Danh mục RM'!$L$5:$L$244,'Danh mục RM'!$B$5:$B$244,$A8)</f>
        <v>62.650000000000013</v>
      </c>
      <c r="L8" s="25">
        <f t="shared" si="2"/>
        <v>3.4805555555555561</v>
      </c>
      <c r="M8" s="27">
        <v>21.7</v>
      </c>
      <c r="N8" s="16">
        <f t="shared" si="3"/>
        <v>0.34636871508379879</v>
      </c>
    </row>
    <row r="9" spans="1:14" x14ac:dyDescent="0.3">
      <c r="A9" s="5" t="s">
        <v>129</v>
      </c>
      <c r="B9" s="5" t="s">
        <v>35</v>
      </c>
      <c r="C9" s="6">
        <f>COUNTIF('Danh mục RM'!$B$5:$B$244,$A9)</f>
        <v>16</v>
      </c>
      <c r="D9" s="6">
        <f>SUMIFS('Danh mục RM'!$E$5:$E$244,'Danh mục RM'!$B$5:$B$244,$A9)</f>
        <v>1292</v>
      </c>
      <c r="E9" s="23">
        <f t="shared" si="0"/>
        <v>80.75</v>
      </c>
      <c r="F9" s="6">
        <f>SUMIFS('Danh mục RM'!$I$5:$I$244,'Danh mục RM'!$B$5:$B$244,$A9)</f>
        <v>5958.3</v>
      </c>
      <c r="G9" s="25">
        <f t="shared" si="1"/>
        <v>4.6116873065015485</v>
      </c>
      <c r="H9" s="6">
        <f>SUMIFS('Danh mục RM'!$F$5:$F$244,'Danh mục RM'!$B$5:$B$244,$A9)</f>
        <v>3504.2</v>
      </c>
      <c r="I9" s="8">
        <f>IFERROR(SUMIFS('Danh mục RM'!$G$5:$G$244,'Danh mục RM'!$B$5:$B$244,$A9)/H9,0)</f>
        <v>0.16628617088065747</v>
      </c>
      <c r="J9" s="6">
        <f>SUMIFS('Danh mục RM'!$H$5:$H$244,'Danh mục RM'!$B$5:$B$244,$A9)</f>
        <v>1437.7</v>
      </c>
      <c r="K9" s="26">
        <f>SUMIFS('Danh mục RM'!$J$5:$J$244,'Danh mục RM'!$B$5:$B$244,$A9)+SUMIFS('Danh mục RM'!$K$5:$K$244,'Danh mục RM'!$B$5:$B$244,$A9)+SUMIFS('Danh mục RM'!$L$5:$L$244,'Danh mục RM'!$B$5:$B$244,$A9)</f>
        <v>62.219999999999992</v>
      </c>
      <c r="L9" s="25">
        <f t="shared" si="2"/>
        <v>3.8887499999999995</v>
      </c>
      <c r="M9" s="27">
        <v>17.5</v>
      </c>
      <c r="N9" s="16">
        <f t="shared" si="3"/>
        <v>0.28126004500160723</v>
      </c>
    </row>
    <row r="10" spans="1:14" x14ac:dyDescent="0.3">
      <c r="A10" s="5" t="s">
        <v>146</v>
      </c>
      <c r="B10" s="5" t="s">
        <v>147</v>
      </c>
      <c r="C10" s="6">
        <f>COUNTIF('Danh mục RM'!$B$5:$B$244,$A10)</f>
        <v>28</v>
      </c>
      <c r="D10" s="6">
        <f>SUMIFS('Danh mục RM'!$E$5:$E$244,'Danh mục RM'!$B$5:$B$244,$A10)</f>
        <v>2299</v>
      </c>
      <c r="E10" s="23">
        <f t="shared" si="0"/>
        <v>82.107142857142861</v>
      </c>
      <c r="F10" s="6">
        <f>SUMIFS('Danh mục RM'!$I$5:$I$244,'Danh mục RM'!$B$5:$B$244,$A10)</f>
        <v>14131.9</v>
      </c>
      <c r="G10" s="25">
        <f t="shared" si="1"/>
        <v>6.1469769464984774</v>
      </c>
      <c r="H10" s="6">
        <f>SUMIFS('Danh mục RM'!$F$5:$F$244,'Danh mục RM'!$B$5:$B$244,$A10)</f>
        <v>8100.2999999999993</v>
      </c>
      <c r="I10" s="8">
        <f>IFERROR(SUMIFS('Danh mục RM'!$G$5:$G$244,'Danh mục RM'!$B$5:$B$244,$A10)/H10,0)</f>
        <v>0.17527745885954846</v>
      </c>
      <c r="J10" s="6">
        <f>SUMIFS('Danh mục RM'!$H$5:$H$244,'Danh mục RM'!$B$5:$B$244,$A10)</f>
        <v>2983.1</v>
      </c>
      <c r="K10" s="26">
        <f>SUMIFS('Danh mục RM'!$J$5:$J$244,'Danh mục RM'!$B$5:$B$244,$A10)+SUMIFS('Danh mục RM'!$K$5:$K$244,'Danh mục RM'!$B$5:$B$244,$A10)+SUMIFS('Danh mục RM'!$L$5:$L$244,'Danh mục RM'!$B$5:$B$244,$A10)</f>
        <v>118.41999999999999</v>
      </c>
      <c r="L10" s="25">
        <f t="shared" si="2"/>
        <v>4.2292857142857141</v>
      </c>
      <c r="M10" s="27">
        <v>31.7</v>
      </c>
      <c r="N10" s="16">
        <f t="shared" si="3"/>
        <v>0.26769126836682994</v>
      </c>
    </row>
    <row r="11" spans="1:14" x14ac:dyDescent="0.3">
      <c r="A11" s="5" t="s">
        <v>176</v>
      </c>
      <c r="B11" s="5" t="s">
        <v>147</v>
      </c>
      <c r="C11" s="6">
        <f>COUNTIF('Danh mục RM'!$B$5:$B$244,$A11)</f>
        <v>20</v>
      </c>
      <c r="D11" s="6">
        <f>SUMIFS('Danh mục RM'!$E$5:$E$244,'Danh mục RM'!$B$5:$B$244,$A11)</f>
        <v>1741</v>
      </c>
      <c r="E11" s="23">
        <f t="shared" si="0"/>
        <v>87.05</v>
      </c>
      <c r="F11" s="6">
        <f>SUMIFS('Danh mục RM'!$I$5:$I$244,'Danh mục RM'!$B$5:$B$244,$A11)</f>
        <v>10977.899999999998</v>
      </c>
      <c r="G11" s="25">
        <f t="shared" si="1"/>
        <v>6.3055140723721985</v>
      </c>
      <c r="H11" s="6">
        <f>SUMIFS('Danh mục RM'!$F$5:$F$244,'Danh mục RM'!$B$5:$B$244,$A11)</f>
        <v>6694.5999999999985</v>
      </c>
      <c r="I11" s="8">
        <f>IFERROR(SUMIFS('Danh mục RM'!$G$5:$G$244,'Danh mục RM'!$B$5:$B$244,$A11)/H11,0)</f>
        <v>0.19273743016759781</v>
      </c>
      <c r="J11" s="6">
        <f>SUMIFS('Danh mục RM'!$H$5:$H$244,'Danh mục RM'!$B$5:$B$244,$A11)</f>
        <v>1616.2999999999997</v>
      </c>
      <c r="K11" s="26">
        <f>SUMIFS('Danh mục RM'!$J$5:$J$244,'Danh mục RM'!$B$5:$B$244,$A11)+SUMIFS('Danh mục RM'!$K$5:$K$244,'Danh mục RM'!$B$5:$B$244,$A11)+SUMIFS('Danh mục RM'!$L$5:$L$244,'Danh mục RM'!$B$5:$B$244,$A11)</f>
        <v>80.16</v>
      </c>
      <c r="L11" s="25">
        <f t="shared" si="2"/>
        <v>4.008</v>
      </c>
      <c r="M11" s="27">
        <v>20.7</v>
      </c>
      <c r="N11" s="16">
        <f t="shared" si="3"/>
        <v>0.25823353293413176</v>
      </c>
    </row>
    <row r="12" spans="1:14" x14ac:dyDescent="0.3">
      <c r="A12" s="5" t="s">
        <v>197</v>
      </c>
      <c r="B12" s="5" t="s">
        <v>147</v>
      </c>
      <c r="C12" s="6">
        <f>COUNTIF('Danh mục RM'!$B$5:$B$244,$A12)</f>
        <v>18</v>
      </c>
      <c r="D12" s="6">
        <f>SUMIFS('Danh mục RM'!$E$5:$E$244,'Danh mục RM'!$B$5:$B$244,$A12)</f>
        <v>1387</v>
      </c>
      <c r="E12" s="23">
        <f t="shared" si="0"/>
        <v>77.055555555555557</v>
      </c>
      <c r="F12" s="6">
        <f>SUMIFS('Danh mục RM'!$I$5:$I$244,'Danh mục RM'!$B$5:$B$244,$A12)</f>
        <v>5833.2999999999984</v>
      </c>
      <c r="G12" s="25">
        <f t="shared" si="1"/>
        <v>4.2056957462148512</v>
      </c>
      <c r="H12" s="6">
        <f>SUMIFS('Danh mục RM'!$F$5:$F$244,'Danh mục RM'!$B$5:$B$244,$A12)</f>
        <v>3513.9000000000005</v>
      </c>
      <c r="I12" s="8">
        <f>IFERROR(SUMIFS('Danh mục RM'!$G$5:$G$244,'Danh mục RM'!$B$5:$B$244,$A12)/H12,0)</f>
        <v>0.14812601383078627</v>
      </c>
      <c r="J12" s="6">
        <f>SUMIFS('Danh mục RM'!$H$5:$H$244,'Danh mục RM'!$B$5:$B$244,$A12)</f>
        <v>1747</v>
      </c>
      <c r="K12" s="26">
        <f>SUMIFS('Danh mục RM'!$J$5:$J$244,'Danh mục RM'!$B$5:$B$244,$A12)+SUMIFS('Danh mục RM'!$K$5:$K$244,'Danh mục RM'!$B$5:$B$244,$A12)+SUMIFS('Danh mục RM'!$L$5:$L$244,'Danh mục RM'!$B$5:$B$244,$A12)</f>
        <v>65.44</v>
      </c>
      <c r="L12" s="25">
        <f t="shared" si="2"/>
        <v>3.6355555555555554</v>
      </c>
      <c r="M12" s="27">
        <v>18.5</v>
      </c>
      <c r="N12" s="16">
        <f t="shared" si="3"/>
        <v>0.28270171149144258</v>
      </c>
    </row>
    <row r="13" spans="1:14" x14ac:dyDescent="0.3">
      <c r="A13" s="5" t="s">
        <v>216</v>
      </c>
      <c r="B13" s="5" t="s">
        <v>147</v>
      </c>
      <c r="C13" s="6">
        <f>COUNTIF('Danh mục RM'!$B$5:$B$244,$A13)</f>
        <v>14</v>
      </c>
      <c r="D13" s="6">
        <f>SUMIFS('Danh mục RM'!$E$5:$E$244,'Danh mục RM'!$B$5:$B$244,$A13)</f>
        <v>1260</v>
      </c>
      <c r="E13" s="23">
        <f t="shared" si="0"/>
        <v>90</v>
      </c>
      <c r="F13" s="6">
        <f>SUMIFS('Danh mục RM'!$I$5:$I$244,'Danh mục RM'!$B$5:$B$244,$A13)</f>
        <v>4535.4000000000005</v>
      </c>
      <c r="G13" s="25">
        <f t="shared" si="1"/>
        <v>3.5995238095238098</v>
      </c>
      <c r="H13" s="6">
        <f>SUMIFS('Danh mục RM'!$F$5:$F$244,'Danh mục RM'!$B$5:$B$244,$A13)</f>
        <v>2893.0999999999995</v>
      </c>
      <c r="I13" s="8">
        <f>IFERROR(SUMIFS('Danh mục RM'!$G$5:$G$244,'Danh mục RM'!$B$5:$B$244,$A13)/H13,0)</f>
        <v>0.14382496284262558</v>
      </c>
      <c r="J13" s="6">
        <f>SUMIFS('Danh mục RM'!$H$5:$H$244,'Danh mục RM'!$B$5:$B$244,$A13)</f>
        <v>1475.8</v>
      </c>
      <c r="K13" s="26">
        <f>SUMIFS('Danh mục RM'!$J$5:$J$244,'Danh mục RM'!$B$5:$B$244,$A13)+SUMIFS('Danh mục RM'!$K$5:$K$244,'Danh mục RM'!$B$5:$B$244,$A13)+SUMIFS('Danh mục RM'!$L$5:$L$244,'Danh mục RM'!$B$5:$B$244,$A13)</f>
        <v>58.71</v>
      </c>
      <c r="L13" s="25">
        <f t="shared" si="2"/>
        <v>4.1935714285714285</v>
      </c>
      <c r="M13" s="27">
        <v>14.7</v>
      </c>
      <c r="N13" s="16">
        <f t="shared" si="3"/>
        <v>0.25038323965252934</v>
      </c>
    </row>
    <row r="14" spans="1:14" x14ac:dyDescent="0.3">
      <c r="A14" s="5" t="s">
        <v>231</v>
      </c>
      <c r="B14" s="5" t="s">
        <v>232</v>
      </c>
      <c r="C14" s="6">
        <f>COUNTIF('Danh mục RM'!$B$5:$B$244,$A14)</f>
        <v>18</v>
      </c>
      <c r="D14" s="6">
        <f>SUMIFS('Danh mục RM'!$E$5:$E$244,'Danh mục RM'!$B$5:$B$244,$A14)</f>
        <v>1404</v>
      </c>
      <c r="E14" s="23">
        <f t="shared" si="0"/>
        <v>78</v>
      </c>
      <c r="F14" s="6">
        <f>SUMIFS('Danh mục RM'!$I$5:$I$244,'Danh mục RM'!$B$5:$B$244,$A14)</f>
        <v>5901.4999999999991</v>
      </c>
      <c r="G14" s="25">
        <f t="shared" si="1"/>
        <v>4.2033475783475778</v>
      </c>
      <c r="H14" s="6">
        <f>SUMIFS('Danh mục RM'!$F$5:$F$244,'Danh mục RM'!$B$5:$B$244,$A14)</f>
        <v>3414.3999999999992</v>
      </c>
      <c r="I14" s="8">
        <f>IFERROR(SUMIFS('Danh mục RM'!$G$5:$G$244,'Danh mục RM'!$B$5:$B$244,$A14)/H14,0)</f>
        <v>0.14307052483598881</v>
      </c>
      <c r="J14" s="6">
        <f>SUMIFS('Danh mục RM'!$H$5:$H$244,'Danh mục RM'!$B$5:$B$244,$A14)</f>
        <v>1540.6000000000001</v>
      </c>
      <c r="K14" s="26">
        <f>SUMIFS('Danh mục RM'!$J$5:$J$244,'Danh mục RM'!$B$5:$B$244,$A14)+SUMIFS('Danh mục RM'!$K$5:$K$244,'Danh mục RM'!$B$5:$B$244,$A14)+SUMIFS('Danh mục RM'!$L$5:$L$244,'Danh mục RM'!$B$5:$B$244,$A14)</f>
        <v>64.11</v>
      </c>
      <c r="L14" s="25">
        <f t="shared" si="2"/>
        <v>3.5616666666666665</v>
      </c>
      <c r="M14" s="27">
        <v>20.399999999999999</v>
      </c>
      <c r="N14" s="16">
        <f t="shared" si="3"/>
        <v>0.31820308844174072</v>
      </c>
    </row>
    <row r="15" spans="1:14" x14ac:dyDescent="0.3">
      <c r="A15" s="5" t="s">
        <v>251</v>
      </c>
      <c r="B15" s="5" t="s">
        <v>232</v>
      </c>
      <c r="C15" s="6">
        <f>COUNTIF('Danh mục RM'!$B$5:$B$244,$A15)</f>
        <v>12</v>
      </c>
      <c r="D15" s="6">
        <f>SUMIFS('Danh mục RM'!$E$5:$E$244,'Danh mục RM'!$B$5:$B$244,$A15)</f>
        <v>933</v>
      </c>
      <c r="E15" s="23">
        <f t="shared" si="0"/>
        <v>77.75</v>
      </c>
      <c r="F15" s="6">
        <f>SUMIFS('Danh mục RM'!$I$5:$I$244,'Danh mục RM'!$B$5:$B$244,$A15)</f>
        <v>3299.4</v>
      </c>
      <c r="G15" s="25">
        <f t="shared" si="1"/>
        <v>3.5363344051446948</v>
      </c>
      <c r="H15" s="6">
        <f>SUMIFS('Danh mục RM'!$F$5:$F$244,'Danh mục RM'!$B$5:$B$244,$A15)</f>
        <v>1978.5000000000002</v>
      </c>
      <c r="I15" s="8">
        <f>IFERROR(SUMIFS('Danh mục RM'!$G$5:$G$244,'Danh mục RM'!$B$5:$B$244,$A15)/H15,0)</f>
        <v>0.13474854687894869</v>
      </c>
      <c r="J15" s="6">
        <f>SUMIFS('Danh mục RM'!$H$5:$H$244,'Danh mục RM'!$B$5:$B$244,$A15)</f>
        <v>899.6</v>
      </c>
      <c r="K15" s="26">
        <f>SUMIFS('Danh mục RM'!$J$5:$J$244,'Danh mục RM'!$B$5:$B$244,$A15)+SUMIFS('Danh mục RM'!$K$5:$K$244,'Danh mục RM'!$B$5:$B$244,$A15)+SUMIFS('Danh mục RM'!$L$5:$L$244,'Danh mục RM'!$B$5:$B$244,$A15)</f>
        <v>41.45</v>
      </c>
      <c r="L15" s="25">
        <f t="shared" si="2"/>
        <v>3.4541666666666671</v>
      </c>
      <c r="M15" s="27">
        <v>12.5</v>
      </c>
      <c r="N15" s="16">
        <f t="shared" si="3"/>
        <v>0.30156815440289503</v>
      </c>
    </row>
    <row r="16" spans="1:14" x14ac:dyDescent="0.3">
      <c r="A16" s="5" t="s">
        <v>264</v>
      </c>
      <c r="B16" s="5" t="s">
        <v>35</v>
      </c>
      <c r="C16" s="6">
        <f>COUNTIF('Danh mục RM'!$B$5:$B$244,$A16)</f>
        <v>24</v>
      </c>
      <c r="D16" s="6">
        <f>SUMIFS('Danh mục RM'!$E$5:$E$244,'Danh mục RM'!$B$5:$B$244,$A16)</f>
        <v>1917</v>
      </c>
      <c r="E16" s="23">
        <f t="shared" si="0"/>
        <v>79.875</v>
      </c>
      <c r="F16" s="6">
        <f>SUMIFS('Danh mục RM'!$I$5:$I$244,'Danh mục RM'!$B$5:$B$244,$A16)</f>
        <v>6439.5999999999995</v>
      </c>
      <c r="G16" s="25">
        <f t="shared" si="1"/>
        <v>3.3592070944183616</v>
      </c>
      <c r="H16" s="6">
        <f>SUMIFS('Danh mục RM'!$F$5:$F$244,'Danh mục RM'!$B$5:$B$244,$A16)</f>
        <v>3720.9</v>
      </c>
      <c r="I16" s="8">
        <f>IFERROR(SUMIFS('Danh mục RM'!$G$5:$G$244,'Danh mục RM'!$B$5:$B$244,$A16)/H16,0)</f>
        <v>0.11927221908678008</v>
      </c>
      <c r="J16" s="6">
        <f>SUMIFS('Danh mục RM'!$H$5:$H$244,'Danh mục RM'!$B$5:$B$244,$A16)</f>
        <v>1734.8000000000002</v>
      </c>
      <c r="K16" s="26">
        <f>SUMIFS('Danh mục RM'!$J$5:$J$244,'Danh mục RM'!$B$5:$B$244,$A16)+SUMIFS('Danh mục RM'!$K$5:$K$244,'Danh mục RM'!$B$5:$B$244,$A16)+SUMIFS('Danh mục RM'!$L$5:$L$244,'Danh mục RM'!$B$5:$B$244,$A16)</f>
        <v>84.09</v>
      </c>
      <c r="L16" s="25">
        <f t="shared" si="2"/>
        <v>3.5037500000000001</v>
      </c>
      <c r="M16" s="27">
        <v>28.7</v>
      </c>
      <c r="N16" s="16">
        <f t="shared" si="3"/>
        <v>0.34130098703769768</v>
      </c>
    </row>
    <row r="17" spans="1:14" x14ac:dyDescent="0.3">
      <c r="A17" s="17" t="s">
        <v>419</v>
      </c>
      <c r="B17" s="2"/>
      <c r="C17" s="18">
        <f>SUM(C5:C16)</f>
        <v>240</v>
      </c>
      <c r="D17" s="18">
        <f>SUM(D5:D16)</f>
        <v>19240</v>
      </c>
      <c r="E17" s="28">
        <f t="shared" si="0"/>
        <v>80.166666666666671</v>
      </c>
      <c r="F17" s="18">
        <f>SUM(F5:F16)</f>
        <v>98500</v>
      </c>
      <c r="G17" s="29">
        <f t="shared" si="1"/>
        <v>5.1195426195426199</v>
      </c>
      <c r="H17" s="18">
        <f>SUM(H5:H16)</f>
        <v>58400.000000000007</v>
      </c>
      <c r="I17" s="19">
        <f>IFERROR(SUM('Danh mục RM'!$G$5:$G$244)/H17,0)</f>
        <v>0.16523972602739739</v>
      </c>
      <c r="J17" s="18">
        <f>SUM(J5:J16)</f>
        <v>21599.999999999996</v>
      </c>
      <c r="K17" s="28">
        <f>SUM(K5:K16)</f>
        <v>917</v>
      </c>
      <c r="L17" s="29">
        <f t="shared" si="2"/>
        <v>3.8208333333333333</v>
      </c>
      <c r="M17" s="28">
        <f>SUM(M5:M16)</f>
        <v>262</v>
      </c>
      <c r="N17" s="19">
        <f t="shared" si="3"/>
        <v>0.2857142857142857</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4"/>
  <sheetViews>
    <sheetView workbookViewId="0">
      <pane xSplit="1" ySplit="4" topLeftCell="B5" activePane="bottomRight" state="frozen"/>
      <selection pane="topRight"/>
      <selection pane="bottomLeft"/>
      <selection pane="bottomRight"/>
    </sheetView>
  </sheetViews>
  <sheetFormatPr defaultRowHeight="14.4" x14ac:dyDescent="0.3"/>
  <cols>
    <col min="1" max="1" width="30" customWidth="1"/>
    <col min="2" max="3" width="14" customWidth="1"/>
    <col min="4" max="4" width="16" customWidth="1"/>
    <col min="5" max="5" width="18" customWidth="1"/>
    <col min="6" max="6" width="20" customWidth="1"/>
    <col min="7" max="7" width="18" customWidth="1"/>
    <col min="8" max="8" width="12" customWidth="1"/>
    <col min="9" max="9" width="11" customWidth="1"/>
    <col min="10" max="10" width="13" customWidth="1"/>
  </cols>
  <sheetData>
    <row r="1" spans="1:10" ht="17.399999999999999" x14ac:dyDescent="0.3">
      <c r="A1" s="1" t="s">
        <v>420</v>
      </c>
      <c r="B1" s="2"/>
      <c r="C1" s="2"/>
      <c r="D1" s="2"/>
      <c r="E1" s="2"/>
      <c r="F1" s="2"/>
      <c r="G1" s="2"/>
      <c r="H1" s="2"/>
      <c r="I1" s="2"/>
      <c r="J1" s="2"/>
    </row>
    <row r="2" spans="1:10" x14ac:dyDescent="0.3">
      <c r="A2" s="3" t="s">
        <v>421</v>
      </c>
      <c r="B2" s="2"/>
      <c r="C2" s="2"/>
      <c r="D2" s="2"/>
      <c r="E2" s="2"/>
      <c r="F2" s="2"/>
      <c r="G2" s="2"/>
      <c r="H2" s="2"/>
      <c r="I2" s="2"/>
      <c r="J2" s="2"/>
    </row>
    <row r="3" spans="1:10" x14ac:dyDescent="0.3">
      <c r="A3" s="2"/>
      <c r="B3" s="2"/>
      <c r="C3" s="2"/>
      <c r="D3" s="2"/>
      <c r="E3" s="2"/>
      <c r="F3" s="2"/>
      <c r="G3" s="2"/>
      <c r="H3" s="2"/>
      <c r="I3" s="2"/>
      <c r="J3" s="2"/>
    </row>
    <row r="4" spans="1:10" ht="48" customHeight="1" x14ac:dyDescent="0.3">
      <c r="A4" s="4" t="s">
        <v>422</v>
      </c>
      <c r="B4" s="4" t="s">
        <v>423</v>
      </c>
      <c r="C4" s="4" t="s">
        <v>424</v>
      </c>
      <c r="D4" s="4" t="s">
        <v>425</v>
      </c>
      <c r="E4" s="4" t="s">
        <v>340</v>
      </c>
      <c r="F4" s="4" t="s">
        <v>426</v>
      </c>
      <c r="G4" s="4" t="s">
        <v>332</v>
      </c>
      <c r="H4" s="4" t="s">
        <v>427</v>
      </c>
      <c r="I4" s="4" t="s">
        <v>16</v>
      </c>
      <c r="J4" s="4" t="s">
        <v>428</v>
      </c>
    </row>
    <row r="5" spans="1:10" x14ac:dyDescent="0.3">
      <c r="A5" s="5" t="s">
        <v>429</v>
      </c>
      <c r="B5" s="14">
        <v>355</v>
      </c>
      <c r="C5" s="22">
        <v>0.245</v>
      </c>
      <c r="D5" s="22">
        <v>6.8000000000000005E-2</v>
      </c>
      <c r="E5" s="22">
        <v>0.31</v>
      </c>
      <c r="F5" s="22">
        <v>-0.08</v>
      </c>
      <c r="G5" s="22">
        <v>0.24</v>
      </c>
      <c r="H5" s="22">
        <v>1.4E-2</v>
      </c>
      <c r="I5" s="22">
        <v>8.8000000000000005E-3</v>
      </c>
      <c r="J5" s="22">
        <v>0.31</v>
      </c>
    </row>
    <row r="6" spans="1:10" x14ac:dyDescent="0.3">
      <c r="A6" s="5" t="s">
        <v>430</v>
      </c>
      <c r="B6" s="14">
        <v>298</v>
      </c>
      <c r="C6" s="22">
        <v>0.27200000000000002</v>
      </c>
      <c r="D6" s="22">
        <v>8.1000000000000003E-2</v>
      </c>
      <c r="E6" s="22">
        <v>0.27</v>
      </c>
      <c r="F6" s="22">
        <v>-0.12</v>
      </c>
      <c r="G6" s="22">
        <v>0.22</v>
      </c>
      <c r="H6" s="22">
        <v>1.2E-2</v>
      </c>
      <c r="I6" s="22">
        <v>7.4000000000000003E-3</v>
      </c>
      <c r="J6" s="22">
        <v>0.33</v>
      </c>
    </row>
    <row r="7" spans="1:10" x14ac:dyDescent="0.3">
      <c r="A7" s="5" t="s">
        <v>431</v>
      </c>
      <c r="B7" s="14">
        <v>410</v>
      </c>
      <c r="C7" s="22">
        <v>0.22800000000000001</v>
      </c>
      <c r="D7" s="22">
        <v>5.5E-2</v>
      </c>
      <c r="E7" s="22">
        <v>0.36</v>
      </c>
      <c r="F7" s="22">
        <v>0.03</v>
      </c>
      <c r="G7" s="22">
        <v>0.28000000000000003</v>
      </c>
      <c r="H7" s="22">
        <v>1.7000000000000001E-2</v>
      </c>
      <c r="I7" s="22">
        <v>1.0500000000000001E-2</v>
      </c>
      <c r="J7" s="22">
        <v>0.28999999999999998</v>
      </c>
    </row>
    <row r="8" spans="1:10" x14ac:dyDescent="0.3">
      <c r="A8" s="5" t="s">
        <v>432</v>
      </c>
      <c r="B8" s="14">
        <v>276</v>
      </c>
      <c r="C8" s="22">
        <v>0.20499999999999999</v>
      </c>
      <c r="D8" s="22">
        <v>4.9000000000000002E-2</v>
      </c>
      <c r="E8" s="22">
        <v>0.38</v>
      </c>
      <c r="F8" s="22">
        <v>-0.04</v>
      </c>
      <c r="G8" s="22">
        <v>0.3</v>
      </c>
      <c r="H8" s="22">
        <v>1.9E-2</v>
      </c>
      <c r="I8" s="22">
        <v>1.0999999999999999E-2</v>
      </c>
      <c r="J8" s="22">
        <v>0.3</v>
      </c>
    </row>
    <row r="9" spans="1:10" x14ac:dyDescent="0.3">
      <c r="A9" s="5" t="s">
        <v>433</v>
      </c>
      <c r="B9" s="14">
        <v>330</v>
      </c>
      <c r="C9" s="22">
        <v>0.26100000000000001</v>
      </c>
      <c r="D9" s="22">
        <v>7.3999999999999996E-2</v>
      </c>
      <c r="E9" s="22">
        <v>0.25</v>
      </c>
      <c r="F9" s="22">
        <v>-0.15</v>
      </c>
      <c r="G9" s="22">
        <v>0.21</v>
      </c>
      <c r="H9" s="22">
        <v>1.0999999999999999E-2</v>
      </c>
      <c r="I9" s="22">
        <v>6.8999999999999999E-3</v>
      </c>
      <c r="J9" s="22">
        <v>0.34</v>
      </c>
    </row>
    <row r="10" spans="1:10" x14ac:dyDescent="0.3">
      <c r="A10" s="30" t="s">
        <v>434</v>
      </c>
      <c r="B10" s="31">
        <f>ROUND(SUMIFS(TrialBalance!$D$5:$D$40,TrialBalance!$C$5:$C$40,"Tài sản")-SUMIFS(TrialBalance!$E$5:$E$40,TrialBalance!$C$5:$C$40,"Tài sản (giảm trừ)"),-3)/1000</f>
        <v>328</v>
      </c>
      <c r="C10" s="32">
        <f>PL_Budget_Actual!D19</f>
        <v>0.16523972602739725</v>
      </c>
      <c r="D10" s="32">
        <f>PL_Budget_Actual!D25/96800-1</f>
        <v>1.7561983471074294E-2</v>
      </c>
      <c r="E10" s="32">
        <f>PL_Budget_Actual!D29</f>
        <v>0.52012383900928794</v>
      </c>
      <c r="F10" s="33">
        <v>0.24</v>
      </c>
      <c r="G10" s="32">
        <f>PL_Budget_Actual!D22</f>
        <v>0.39120370370370372</v>
      </c>
      <c r="H10" s="32">
        <f>PL_Budget_Actual!D23</f>
        <v>2.9000000000000001E-2</v>
      </c>
      <c r="I10" s="32">
        <f>PL_Budget_Actual!D24</f>
        <v>1.32E-2</v>
      </c>
      <c r="J10" s="32">
        <f>PL_Budget_Actual!D30</f>
        <v>0.2857142857142857</v>
      </c>
    </row>
    <row r="11" spans="1:10" x14ac:dyDescent="0.3">
      <c r="A11" s="17" t="s">
        <v>435</v>
      </c>
      <c r="B11" s="18">
        <f t="shared" ref="B11:J11" si="0">MEDIAN(B5:B9)</f>
        <v>330</v>
      </c>
      <c r="C11" s="19">
        <f t="shared" si="0"/>
        <v>0.245</v>
      </c>
      <c r="D11" s="19">
        <f t="shared" si="0"/>
        <v>6.8000000000000005E-2</v>
      </c>
      <c r="E11" s="19">
        <f t="shared" si="0"/>
        <v>0.31</v>
      </c>
      <c r="F11" s="19">
        <f t="shared" si="0"/>
        <v>-0.08</v>
      </c>
      <c r="G11" s="19">
        <f t="shared" si="0"/>
        <v>0.24</v>
      </c>
      <c r="H11" s="19">
        <f t="shared" si="0"/>
        <v>1.4E-2</v>
      </c>
      <c r="I11" s="19">
        <f t="shared" si="0"/>
        <v>8.8000000000000005E-3</v>
      </c>
      <c r="J11" s="19">
        <f t="shared" si="0"/>
        <v>0.31</v>
      </c>
    </row>
    <row r="12" spans="1:10" x14ac:dyDescent="0.3">
      <c r="A12" s="17" t="s">
        <v>436</v>
      </c>
      <c r="B12" s="2"/>
      <c r="C12" s="7">
        <f t="shared" ref="C12:J12" si="1">C10-C11</f>
        <v>-7.9760273972602741E-2</v>
      </c>
      <c r="D12" s="7">
        <f t="shared" si="1"/>
        <v>-5.0438016528925711E-2</v>
      </c>
      <c r="E12" s="7">
        <f t="shared" si="1"/>
        <v>0.21012383900928794</v>
      </c>
      <c r="F12" s="7">
        <f t="shared" si="1"/>
        <v>0.32</v>
      </c>
      <c r="G12" s="7">
        <f t="shared" si="1"/>
        <v>0.15120370370370373</v>
      </c>
      <c r="H12" s="7">
        <f t="shared" si="1"/>
        <v>1.5000000000000001E-2</v>
      </c>
      <c r="I12" s="7">
        <f t="shared" si="1"/>
        <v>4.3999999999999994E-3</v>
      </c>
      <c r="J12" s="7">
        <f t="shared" si="1"/>
        <v>-2.4285714285714299E-2</v>
      </c>
    </row>
    <row r="13" spans="1:10" x14ac:dyDescent="0.3">
      <c r="A13" s="2"/>
      <c r="B13" s="2"/>
      <c r="C13" s="2"/>
      <c r="D13" s="2"/>
      <c r="E13" s="2"/>
      <c r="F13" s="2"/>
      <c r="G13" s="2"/>
      <c r="H13" s="2"/>
      <c r="I13" s="2"/>
      <c r="J13" s="2"/>
    </row>
    <row r="14" spans="1:10" x14ac:dyDescent="0.3">
      <c r="A14" s="3" t="s">
        <v>437</v>
      </c>
      <c r="B14" s="2"/>
      <c r="C14" s="2"/>
      <c r="D14" s="2"/>
      <c r="E14" s="2"/>
      <c r="F14" s="2"/>
      <c r="G14" s="2"/>
      <c r="H14" s="2"/>
      <c r="I14" s="2"/>
      <c r="J14" s="2"/>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Output - Q3 Performance</vt:lpstr>
      <vt:lpstr>Danh mục RM</vt:lpstr>
      <vt:lpstr>Thu nhập tháng</vt:lpstr>
      <vt:lpstr>PL_Budget_Actual</vt:lpstr>
      <vt:lpstr>TrialBalance</vt:lpstr>
      <vt:lpstr>UnitEconomics</vt:lpstr>
      <vt:lpstr>Comps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Hùng Lê</cp:lastModifiedBy>
  <dcterms:created xsi:type="dcterms:W3CDTF">2026-10-09T08:26:16Z</dcterms:created>
  <dcterms:modified xsi:type="dcterms:W3CDTF">2026-10-09T08:26:37Z</dcterms:modified>
</cp:coreProperties>
</file>